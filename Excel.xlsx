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QUYNH TRANG\Documents\THUD trong QLKT\"/>
    </mc:Choice>
  </mc:AlternateContent>
  <xr:revisionPtr revIDLastSave="0" documentId="13_ncr:1_{CEA9129B-7648-44B8-A307-F27CC8945B30}" xr6:coauthVersionLast="47" xr6:coauthVersionMax="47" xr10:uidLastSave="{00000000-0000-0000-0000-000000000000}"/>
  <bookViews>
    <workbookView xWindow="-108" yWindow="-108" windowWidth="23256" windowHeight="12456" activeTab="1" xr2:uid="{AD6BE1B6-0E6C-4FF2-96E7-C6C4141BAD1C}"/>
  </bookViews>
  <sheets>
    <sheet name="pivot chart" sheetId="4" r:id="rId1"/>
    <sheet name="sumif, vlookup" sheetId="5" r:id="rId2"/>
  </sheets>
  <definedNames>
    <definedName name="_xlnm._FilterDatabase" localSheetId="0" hidden="1">'pivot chart'!$C$187:$J$204</definedName>
  </definedNames>
  <calcPr calcId="191029"/>
  <pivotCaches>
    <pivotCache cacheId="0" r:id="rId3"/>
    <pivotCache cacheId="1" r:id="rId4"/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8" i="5" l="1"/>
  <c r="O18" i="5"/>
  <c r="L18" i="5"/>
  <c r="N18" i="5" s="1"/>
  <c r="P18" i="5" s="1"/>
  <c r="N17" i="5"/>
  <c r="L17" i="5"/>
  <c r="O17" i="5" s="1"/>
  <c r="P17" i="5" s="1"/>
  <c r="O16" i="5"/>
  <c r="L16" i="5"/>
  <c r="N16" i="5" s="1"/>
  <c r="P16" i="5" s="1"/>
  <c r="O15" i="5"/>
  <c r="L15" i="5"/>
  <c r="N15" i="5" s="1"/>
  <c r="P15" i="5" s="1"/>
  <c r="N14" i="5"/>
  <c r="L14" i="5"/>
  <c r="O14" i="5" s="1"/>
  <c r="P14" i="5" s="1"/>
  <c r="N13" i="5"/>
  <c r="L13" i="5"/>
  <c r="O13" i="5" s="1"/>
  <c r="P13" i="5" s="1"/>
  <c r="O12" i="5"/>
  <c r="L12" i="5"/>
  <c r="N12" i="5" s="1"/>
  <c r="P12" i="5" s="1"/>
  <c r="O11" i="5"/>
  <c r="P11" i="5" s="1"/>
  <c r="N11" i="5"/>
  <c r="L11" i="5"/>
  <c r="N10" i="5"/>
  <c r="L10" i="5"/>
  <c r="O10" i="5" s="1"/>
  <c r="P10" i="5" s="1"/>
  <c r="O9" i="5"/>
  <c r="L9" i="5"/>
  <c r="N9" i="5" s="1"/>
  <c r="P9" i="5" s="1"/>
  <c r="O8" i="5"/>
  <c r="L8" i="5"/>
  <c r="N8" i="5" s="1"/>
  <c r="P8" i="5" s="1"/>
  <c r="N7" i="5"/>
  <c r="L7" i="5"/>
  <c r="T10" i="5" s="1"/>
  <c r="T6" i="5"/>
  <c r="O6" i="5"/>
  <c r="L6" i="5"/>
  <c r="U19" i="5" s="1"/>
  <c r="T20" i="5" l="1"/>
  <c r="T30" i="5" s="1"/>
  <c r="O7" i="5"/>
  <c r="P7" i="5" s="1"/>
  <c r="U17" i="5" s="1"/>
  <c r="T16" i="5"/>
  <c r="T26" i="5" s="1"/>
  <c r="N6" i="5"/>
  <c r="P6" i="5" s="1"/>
  <c r="U6" i="5" s="1"/>
  <c r="U26" i="5" s="1"/>
  <c r="U8" i="5"/>
  <c r="U16" i="5"/>
  <c r="U20" i="5"/>
  <c r="T21" i="5"/>
  <c r="T7" i="5"/>
  <c r="T11" i="5"/>
  <c r="T31" i="5" s="1"/>
  <c r="U7" i="5"/>
  <c r="U11" i="5"/>
  <c r="U21" i="5"/>
  <c r="T18" i="5"/>
  <c r="U10" i="5"/>
  <c r="U30" i="5" s="1"/>
  <c r="U18" i="5"/>
  <c r="T9" i="5"/>
  <c r="T29" i="5" s="1"/>
  <c r="T17" i="5"/>
  <c r="T19" i="5"/>
  <c r="T28" i="5"/>
  <c r="U9" i="5"/>
  <c r="U29" i="5" s="1"/>
  <c r="U28" i="5" l="1"/>
  <c r="U31" i="5"/>
  <c r="U27" i="5"/>
  <c r="T27" i="5"/>
  <c r="I232" i="4" l="1"/>
  <c r="I227" i="4"/>
  <c r="I222" i="4"/>
  <c r="I233" i="4" s="1"/>
  <c r="J205" i="4"/>
  <c r="I205" i="4"/>
  <c r="J203" i="4"/>
  <c r="I203" i="4"/>
  <c r="J200" i="4"/>
  <c r="I200" i="4"/>
  <c r="J198" i="4"/>
  <c r="I198" i="4"/>
  <c r="J194" i="4"/>
  <c r="I194" i="4"/>
  <c r="J191" i="4"/>
  <c r="I191" i="4"/>
  <c r="J181" i="4"/>
  <c r="I181" i="4"/>
  <c r="J177" i="4"/>
  <c r="I177" i="4"/>
  <c r="J172" i="4"/>
  <c r="I172" i="4"/>
  <c r="I206" i="4" l="1"/>
  <c r="J206" i="4"/>
  <c r="J182" i="4"/>
  <c r="I182" i="4"/>
</calcChain>
</file>

<file path=xl/sharedStrings.xml><?xml version="1.0" encoding="utf-8"?>
<sst xmlns="http://schemas.openxmlformats.org/spreadsheetml/2006/main" count="592" uniqueCount="98">
  <si>
    <t>Số lượng</t>
  </si>
  <si>
    <t>Doanh thu</t>
  </si>
  <si>
    <t>Thuế (5%)</t>
  </si>
  <si>
    <t>Grand Total</t>
  </si>
  <si>
    <t>Chứng từ</t>
  </si>
  <si>
    <t>Ngày</t>
  </si>
  <si>
    <t>Cửa hàng</t>
  </si>
  <si>
    <t>Mặt hàng</t>
  </si>
  <si>
    <t>Đơn giá</t>
  </si>
  <si>
    <t>Số 1</t>
  </si>
  <si>
    <t>Xi măng</t>
  </si>
  <si>
    <t>Số 2</t>
  </si>
  <si>
    <t>Sắt 6</t>
  </si>
  <si>
    <t>Số 3</t>
  </si>
  <si>
    <t>Sắt 8</t>
  </si>
  <si>
    <t>1. Sắp xếp dữ liệu theo ngày bán tăng dần, theo đơn giá giảm dần, theo doanh thu giảm dần</t>
  </si>
  <si>
    <t xml:space="preserve">Số 3 </t>
  </si>
  <si>
    <t>SẮt 8</t>
  </si>
  <si>
    <t>&gt;2,000,000</t>
  </si>
  <si>
    <t>&gt;=2,000,000</t>
  </si>
  <si>
    <t>&lt;4,000,000</t>
  </si>
  <si>
    <t>4. Tạo phụ tổng</t>
  </si>
  <si>
    <t>Số 1 Total</t>
  </si>
  <si>
    <t>Số 2 Total</t>
  </si>
  <si>
    <t>Số 3 Total</t>
  </si>
  <si>
    <t>15/1 Total</t>
  </si>
  <si>
    <t>16/1 Total</t>
  </si>
  <si>
    <t>17/1 Total</t>
  </si>
  <si>
    <t>18/1 Total</t>
  </si>
  <si>
    <t>19/1 Total</t>
  </si>
  <si>
    <t>20/1 Total</t>
  </si>
  <si>
    <t>Row Labels</t>
  </si>
  <si>
    <t>Average of Doanh thu</t>
  </si>
  <si>
    <t>5. Trích lập các báo cáo riêng</t>
  </si>
  <si>
    <t>Sum of Doanh thu</t>
  </si>
  <si>
    <t>b, Báo cáo tổng thuế và thuế bình quân phải nộp của các cửa hàng theo từng mặt hàng</t>
  </si>
  <si>
    <t>Sum of Thuế (5%)</t>
  </si>
  <si>
    <t>Average of Thuế (5%)2</t>
  </si>
  <si>
    <t>c, Báo cáo doanh thu bình quân và doanh thu lớn nhất của từng mặt hàng theo từng cửa hàng</t>
  </si>
  <si>
    <t>Max of Doanh thu2</t>
  </si>
  <si>
    <t>2. Dùng chế độ lọc tự động</t>
  </si>
  <si>
    <t>Grand Average</t>
  </si>
  <si>
    <t>a, Báo cáo tổng doanh thu theo từng mặt hàng</t>
  </si>
  <si>
    <t>Tình hình bán hàng trong tuần của Cửa hàng số 1, Cửa hàng số 2</t>
  </si>
  <si>
    <t>Tình hình tiêu thụ từng mặt hàng</t>
  </si>
  <si>
    <t>Những chứng từ bán hàng có doanh thu từ 2.500.000đ trở lên</t>
  </si>
  <si>
    <t>Những chứng từ bán hàng có doanh thu từ 1.000.000đ đến 4.000.000đ</t>
  </si>
  <si>
    <t>Những chứng từ bán hàng có mức thuế dưới 100.000đ</t>
  </si>
  <si>
    <t>3. Dùng lọc tùy chọn để lọc các chứng từ phát sinh từ ngày 16 đến 19 tháng 1 và có doanh thu trên 2.000.000đ</t>
  </si>
  <si>
    <t>Dùng lọc tùy chọn để lọc các chứng từ bán sắt 6 và xi măng có doanh thu từ 2.000.000đ đến 4.000.000đ</t>
  </si>
  <si>
    <t>Tổng doanh thu và thuế VAT theo từng cửa hàng</t>
  </si>
  <si>
    <t>Tổng doanh thu và thuế VAT theo ngày bán</t>
  </si>
  <si>
    <t>Sắt 6 Average</t>
  </si>
  <si>
    <t>Sắt 8 Average</t>
  </si>
  <si>
    <t>Xi măng Average</t>
  </si>
  <si>
    <t>Doanh thu bình quân theo mặt hàng</t>
  </si>
  <si>
    <t>TỒN KHO ĐẦU KỲ</t>
  </si>
  <si>
    <t>NHẬP XUẤT TRONG KỲ</t>
  </si>
  <si>
    <t>BẢNG TỔNG KẾT NHẬP</t>
  </si>
  <si>
    <t>Mã hàng</t>
  </si>
  <si>
    <t>Hàng</t>
  </si>
  <si>
    <t>SL đầu kỳ</t>
  </si>
  <si>
    <t>Trị giá đầu kỳ</t>
  </si>
  <si>
    <t>Giá nhập</t>
  </si>
  <si>
    <t>Giá suất</t>
  </si>
  <si>
    <t>Số CT</t>
  </si>
  <si>
    <t>Giá xuất</t>
  </si>
  <si>
    <t>Trị giá</t>
  </si>
  <si>
    <t>Tổng số lượng</t>
  </si>
  <si>
    <t>Tổng trị giá</t>
  </si>
  <si>
    <t>B</t>
  </si>
  <si>
    <t>Dưa hấu</t>
  </si>
  <si>
    <t>NB-003</t>
  </si>
  <si>
    <t>C</t>
  </si>
  <si>
    <t>Cam</t>
  </si>
  <si>
    <t>XC-004</t>
  </si>
  <si>
    <t>O</t>
  </si>
  <si>
    <t>Chanh</t>
  </si>
  <si>
    <t>NH-005</t>
  </si>
  <si>
    <t>H</t>
  </si>
  <si>
    <t>Hồng</t>
  </si>
  <si>
    <t>NB-006</t>
  </si>
  <si>
    <t>D</t>
  </si>
  <si>
    <t>Đào</t>
  </si>
  <si>
    <t>XX-007</t>
  </si>
  <si>
    <t>X</t>
  </si>
  <si>
    <t>Bưởi</t>
  </si>
  <si>
    <t>XO-008</t>
  </si>
  <si>
    <t>NO-009</t>
  </si>
  <si>
    <t>XD-010</t>
  </si>
  <si>
    <t>BẢNG TỔNG KẾT XUẤT</t>
  </si>
  <si>
    <t>XX-011</t>
  </si>
  <si>
    <t>NC-012</t>
  </si>
  <si>
    <t>NO-013</t>
  </si>
  <si>
    <t>XH-014</t>
  </si>
  <si>
    <t>ND-015</t>
  </si>
  <si>
    <t>Số lượng cuối kỳ=(Số lượng đầu kỳ+Nhập trong kỳ)-Xuất trong kỳ</t>
  </si>
  <si>
    <t>TỒN KHO 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</si>
</sst>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dd/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41" fontId="0" fillId="0" borderId="0" xfId="0" applyNumberFormat="1"/>
    <xf numFmtId="41" fontId="0" fillId="0" borderId="1" xfId="0" applyNumberFormat="1" applyBorder="1"/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center"/>
    </xf>
    <xf numFmtId="3" fontId="0" fillId="0" borderId="1" xfId="0" applyNumberFormat="1" applyBorder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pivotButton="1"/>
    <xf numFmtId="164" fontId="0" fillId="0" borderId="0" xfId="0" applyNumberFormat="1" applyAlignment="1">
      <alignment horizontal="center"/>
    </xf>
    <xf numFmtId="3" fontId="0" fillId="0" borderId="0" xfId="0" applyNumberFormat="1"/>
    <xf numFmtId="0" fontId="1" fillId="0" borderId="0" xfId="0" applyFont="1"/>
    <xf numFmtId="164" fontId="1" fillId="0" borderId="0" xfId="0" applyNumberFormat="1" applyFont="1" applyAlignment="1">
      <alignment horizontal="center"/>
    </xf>
    <xf numFmtId="1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[Chương 2 - Copy.xlsx]pivot chart!PivotTable1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chart'!$D$271</c:f>
              <c:strCache>
                <c:ptCount val="1"/>
                <c:pt idx="0">
                  <c:v>Sum of Thuế (5%)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chart'!$C$272:$C$284</c:f>
              <c:multiLvlStrCache>
                <c:ptCount val="9"/>
                <c:lvl>
                  <c:pt idx="0">
                    <c:v>Số 1</c:v>
                  </c:pt>
                  <c:pt idx="1">
                    <c:v>Số 2</c:v>
                  </c:pt>
                  <c:pt idx="2">
                    <c:v>Số 3</c:v>
                  </c:pt>
                  <c:pt idx="3">
                    <c:v>Số 1</c:v>
                  </c:pt>
                  <c:pt idx="4">
                    <c:v>Số 2</c:v>
                  </c:pt>
                  <c:pt idx="5">
                    <c:v>Số 3</c:v>
                  </c:pt>
                  <c:pt idx="6">
                    <c:v>Số 1</c:v>
                  </c:pt>
                  <c:pt idx="7">
                    <c:v>Số 2</c:v>
                  </c:pt>
                  <c:pt idx="8">
                    <c:v>Số 3</c:v>
                  </c:pt>
                </c:lvl>
                <c:lvl>
                  <c:pt idx="0">
                    <c:v>Sắt 6</c:v>
                  </c:pt>
                  <c:pt idx="3">
                    <c:v>Sắt 8</c:v>
                  </c:pt>
                  <c:pt idx="6">
                    <c:v>Xi măng</c:v>
                  </c:pt>
                </c:lvl>
              </c:multiLvlStrCache>
            </c:multiLvlStrRef>
          </c:cat>
          <c:val>
            <c:numRef>
              <c:f>'pivot chart'!$D$272:$D$284</c:f>
              <c:numCache>
                <c:formatCode>_(* #,##0_);_(* \(#,##0\);_(* "-"_);_(@_)</c:formatCode>
                <c:ptCount val="9"/>
                <c:pt idx="0">
                  <c:v>168750</c:v>
                </c:pt>
                <c:pt idx="1">
                  <c:v>56250</c:v>
                </c:pt>
                <c:pt idx="2">
                  <c:v>45000</c:v>
                </c:pt>
                <c:pt idx="3">
                  <c:v>137500</c:v>
                </c:pt>
                <c:pt idx="4">
                  <c:v>50000</c:v>
                </c:pt>
                <c:pt idx="5">
                  <c:v>50000</c:v>
                </c:pt>
                <c:pt idx="6">
                  <c:v>42500</c:v>
                </c:pt>
                <c:pt idx="7">
                  <c:v>212500</c:v>
                </c:pt>
                <c:pt idx="8">
                  <c:v>212500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3-4B74-98FE-D81CD6939AE1}"/>
            </c:ext>
          </c:extLst>
        </c:ser>
        <c:ser>
          <c:idx val="1"/>
          <c:order val="1"/>
          <c:tx>
            <c:strRef>
              <c:f>'pivot chart'!$E$271</c:f>
              <c:strCache>
                <c:ptCount val="1"/>
                <c:pt idx="0">
                  <c:v>Average of Thuế (5%)2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chart'!$C$272:$C$284</c:f>
              <c:multiLvlStrCache>
                <c:ptCount val="9"/>
                <c:lvl>
                  <c:pt idx="0">
                    <c:v>Số 1</c:v>
                  </c:pt>
                  <c:pt idx="1">
                    <c:v>Số 2</c:v>
                  </c:pt>
                  <c:pt idx="2">
                    <c:v>Số 3</c:v>
                  </c:pt>
                  <c:pt idx="3">
                    <c:v>Số 1</c:v>
                  </c:pt>
                  <c:pt idx="4">
                    <c:v>Số 2</c:v>
                  </c:pt>
                  <c:pt idx="5">
                    <c:v>Số 3</c:v>
                  </c:pt>
                  <c:pt idx="6">
                    <c:v>Số 1</c:v>
                  </c:pt>
                  <c:pt idx="7">
                    <c:v>Số 2</c:v>
                  </c:pt>
                  <c:pt idx="8">
                    <c:v>Số 3</c:v>
                  </c:pt>
                </c:lvl>
                <c:lvl>
                  <c:pt idx="0">
                    <c:v>Sắt 6</c:v>
                  </c:pt>
                  <c:pt idx="3">
                    <c:v>Sắt 8</c:v>
                  </c:pt>
                  <c:pt idx="6">
                    <c:v>Xi măng</c:v>
                  </c:pt>
                </c:lvl>
              </c:multiLvlStrCache>
            </c:multiLvlStrRef>
          </c:cat>
          <c:val>
            <c:numRef>
              <c:f>'pivot chart'!$E$272:$E$284</c:f>
              <c:numCache>
                <c:formatCode>_(* #,##0_);_(* \(#,##0\);_(* "-"_);_(@_)</c:formatCode>
                <c:ptCount val="9"/>
                <c:pt idx="0">
                  <c:v>84375</c:v>
                </c:pt>
                <c:pt idx="1">
                  <c:v>56250</c:v>
                </c:pt>
                <c:pt idx="2">
                  <c:v>45000</c:v>
                </c:pt>
                <c:pt idx="3">
                  <c:v>68750</c:v>
                </c:pt>
                <c:pt idx="4">
                  <c:v>50000</c:v>
                </c:pt>
                <c:pt idx="5">
                  <c:v>50000</c:v>
                </c:pt>
                <c:pt idx="6">
                  <c:v>42500</c:v>
                </c:pt>
                <c:pt idx="7">
                  <c:v>106250</c:v>
                </c:pt>
                <c:pt idx="8">
                  <c:v>212500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D3-4B74-98FE-D81CD6939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6533935"/>
        <c:axId val="1416534415"/>
      </c:barChart>
      <c:catAx>
        <c:axId val="141653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534415"/>
        <c:crosses val="autoZero"/>
        <c:auto val="1"/>
        <c:lblAlgn val="ctr"/>
        <c:lblOffset val="100"/>
        <c:noMultiLvlLbl val="0"/>
      </c:catAx>
      <c:valAx>
        <c:axId val="141653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53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[Chương 2 - Copy.xlsx]pivot chart!PivotTable3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chart'!$D$291</c:f>
              <c:strCache>
                <c:ptCount val="1"/>
                <c:pt idx="0">
                  <c:v>Average of Doanh thu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chart'!$C$292:$C$304</c:f>
              <c:multiLvlStrCache>
                <c:ptCount val="9"/>
                <c:lvl>
                  <c:pt idx="0">
                    <c:v>Số 1</c:v>
                  </c:pt>
                  <c:pt idx="1">
                    <c:v>Số 2</c:v>
                  </c:pt>
                  <c:pt idx="2">
                    <c:v>Số 3</c:v>
                  </c:pt>
                  <c:pt idx="3">
                    <c:v>Số 1</c:v>
                  </c:pt>
                  <c:pt idx="4">
                    <c:v>Số 2</c:v>
                  </c:pt>
                  <c:pt idx="5">
                    <c:v>Số 3 </c:v>
                  </c:pt>
                  <c:pt idx="6">
                    <c:v>Số 1</c:v>
                  </c:pt>
                  <c:pt idx="7">
                    <c:v>Số 2</c:v>
                  </c:pt>
                  <c:pt idx="8">
                    <c:v>Số 3</c:v>
                  </c:pt>
                </c:lvl>
                <c:lvl>
                  <c:pt idx="0">
                    <c:v>Sắt 6</c:v>
                  </c:pt>
                  <c:pt idx="3">
                    <c:v>Sắt 8</c:v>
                  </c:pt>
                  <c:pt idx="6">
                    <c:v>Xi măng</c:v>
                  </c:pt>
                </c:lvl>
              </c:multiLvlStrCache>
            </c:multiLvlStrRef>
          </c:cat>
          <c:val>
            <c:numRef>
              <c:f>'pivot chart'!$D$292:$D$304</c:f>
              <c:numCache>
                <c:formatCode>_(* #,##0_);_(* \(#,##0\);_(* "-"_);_(@_)</c:formatCode>
                <c:ptCount val="9"/>
                <c:pt idx="0">
                  <c:v>1687500</c:v>
                </c:pt>
                <c:pt idx="1">
                  <c:v>1125000</c:v>
                </c:pt>
                <c:pt idx="2">
                  <c:v>900000</c:v>
                </c:pt>
                <c:pt idx="3">
                  <c:v>1375000</c:v>
                </c:pt>
                <c:pt idx="4">
                  <c:v>1000000</c:v>
                </c:pt>
                <c:pt idx="5">
                  <c:v>1000000</c:v>
                </c:pt>
                <c:pt idx="6">
                  <c:v>850000</c:v>
                </c:pt>
                <c:pt idx="7">
                  <c:v>2125000</c:v>
                </c:pt>
                <c:pt idx="8">
                  <c:v>4250000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7E-45A3-B1A1-66B1D89F2DBD}"/>
            </c:ext>
          </c:extLst>
        </c:ser>
        <c:ser>
          <c:idx val="1"/>
          <c:order val="1"/>
          <c:tx>
            <c:strRef>
              <c:f>'pivot chart'!$E$291</c:f>
              <c:strCache>
                <c:ptCount val="1"/>
                <c:pt idx="0">
                  <c:v>Max of Doanh thu2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chart'!$C$292:$C$304</c:f>
              <c:multiLvlStrCache>
                <c:ptCount val="9"/>
                <c:lvl>
                  <c:pt idx="0">
                    <c:v>Số 1</c:v>
                  </c:pt>
                  <c:pt idx="1">
                    <c:v>Số 2</c:v>
                  </c:pt>
                  <c:pt idx="2">
                    <c:v>Số 3</c:v>
                  </c:pt>
                  <c:pt idx="3">
                    <c:v>Số 1</c:v>
                  </c:pt>
                  <c:pt idx="4">
                    <c:v>Số 2</c:v>
                  </c:pt>
                  <c:pt idx="5">
                    <c:v>Số 3 </c:v>
                  </c:pt>
                  <c:pt idx="6">
                    <c:v>Số 1</c:v>
                  </c:pt>
                  <c:pt idx="7">
                    <c:v>Số 2</c:v>
                  </c:pt>
                  <c:pt idx="8">
                    <c:v>Số 3</c:v>
                  </c:pt>
                </c:lvl>
                <c:lvl>
                  <c:pt idx="0">
                    <c:v>Sắt 6</c:v>
                  </c:pt>
                  <c:pt idx="3">
                    <c:v>Sắt 8</c:v>
                  </c:pt>
                  <c:pt idx="6">
                    <c:v>Xi măng</c:v>
                  </c:pt>
                </c:lvl>
              </c:multiLvlStrCache>
            </c:multiLvlStrRef>
          </c:cat>
          <c:val>
            <c:numRef>
              <c:f>'pivot chart'!$E$292:$E$304</c:f>
              <c:numCache>
                <c:formatCode>_(* #,##0_);_(* \(#,##0\);_(* "-"_);_(@_)</c:formatCode>
                <c:ptCount val="9"/>
                <c:pt idx="0">
                  <c:v>2025000</c:v>
                </c:pt>
                <c:pt idx="1">
                  <c:v>1125000</c:v>
                </c:pt>
                <c:pt idx="2">
                  <c:v>900000</c:v>
                </c:pt>
                <c:pt idx="3">
                  <c:v>1500000</c:v>
                </c:pt>
                <c:pt idx="4">
                  <c:v>1000000</c:v>
                </c:pt>
                <c:pt idx="5">
                  <c:v>1000000</c:v>
                </c:pt>
                <c:pt idx="6">
                  <c:v>850000</c:v>
                </c:pt>
                <c:pt idx="7">
                  <c:v>2975000</c:v>
                </c:pt>
                <c:pt idx="8">
                  <c:v>4250000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7E-45A3-B1A1-66B1D89F2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4266895"/>
        <c:axId val="1424265935"/>
      </c:barChart>
      <c:catAx>
        <c:axId val="1424266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265935"/>
        <c:crosses val="autoZero"/>
        <c:auto val="1"/>
        <c:lblAlgn val="ctr"/>
        <c:lblOffset val="100"/>
        <c:noMultiLvlLbl val="0"/>
      </c:catAx>
      <c:valAx>
        <c:axId val="142426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266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[Chương 2 - Copy.xlsx]pivot chart!PivotTable6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chart'!$D$249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chart'!$C$250:$C$262</c:f>
              <c:multiLvlStrCache>
                <c:ptCount val="9"/>
                <c:lvl>
                  <c:pt idx="0">
                    <c:v>Số 1</c:v>
                  </c:pt>
                  <c:pt idx="1">
                    <c:v>Số 2</c:v>
                  </c:pt>
                  <c:pt idx="2">
                    <c:v>Số 3</c:v>
                  </c:pt>
                  <c:pt idx="3">
                    <c:v>Số 1</c:v>
                  </c:pt>
                  <c:pt idx="4">
                    <c:v>Số 2</c:v>
                  </c:pt>
                  <c:pt idx="5">
                    <c:v>Số 3</c:v>
                  </c:pt>
                  <c:pt idx="6">
                    <c:v>Số 1</c:v>
                  </c:pt>
                  <c:pt idx="7">
                    <c:v>Số 2</c:v>
                  </c:pt>
                  <c:pt idx="8">
                    <c:v>Số 3</c:v>
                  </c:pt>
                </c:lvl>
                <c:lvl>
                  <c:pt idx="0">
                    <c:v>Sắt 6</c:v>
                  </c:pt>
                  <c:pt idx="3">
                    <c:v>Sắt 8</c:v>
                  </c:pt>
                  <c:pt idx="6">
                    <c:v>Xi măng</c:v>
                  </c:pt>
                </c:lvl>
              </c:multiLvlStrCache>
            </c:multiLvlStrRef>
          </c:cat>
          <c:val>
            <c:numRef>
              <c:f>'pivot chart'!$D$250:$D$262</c:f>
              <c:numCache>
                <c:formatCode>_(* #,##0_);_(* \(#,##0\);_(* "-"_);_(@_)</c:formatCode>
                <c:ptCount val="9"/>
                <c:pt idx="0">
                  <c:v>3375000</c:v>
                </c:pt>
                <c:pt idx="1">
                  <c:v>1125000</c:v>
                </c:pt>
                <c:pt idx="2">
                  <c:v>900000</c:v>
                </c:pt>
                <c:pt idx="3">
                  <c:v>2750000</c:v>
                </c:pt>
                <c:pt idx="4">
                  <c:v>1000000</c:v>
                </c:pt>
                <c:pt idx="5">
                  <c:v>1000000</c:v>
                </c:pt>
                <c:pt idx="6">
                  <c:v>850000</c:v>
                </c:pt>
                <c:pt idx="7">
                  <c:v>4250000</c:v>
                </c:pt>
                <c:pt idx="8">
                  <c:v>4250000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2-4E60-A967-4EC78DE14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4806447"/>
        <c:axId val="988723215"/>
      </c:barChart>
      <c:catAx>
        <c:axId val="98480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723215"/>
        <c:crosses val="autoZero"/>
        <c:auto val="1"/>
        <c:lblAlgn val="ctr"/>
        <c:lblOffset val="100"/>
        <c:noMultiLvlLbl val="0"/>
      </c:catAx>
      <c:valAx>
        <c:axId val="98872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80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701040</xdr:colOff>
      <xdr:row>269</xdr:row>
      <xdr:rowOff>140970</xdr:rowOff>
    </xdr:from>
    <xdr:to>
      <xdr:col>12</xdr:col>
      <xdr:colOff>297180</xdr:colOff>
      <xdr:row>284</xdr:row>
      <xdr:rowOff>140970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B02641-1758-26A2-5AC4-4BDCD1F4E3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</xdr:colOff>
      <xdr:row>290</xdr:row>
      <xdr:rowOff>3810</xdr:rowOff>
    </xdr:from>
    <xdr:to>
      <xdr:col>12</xdr:col>
      <xdr:colOff>358140</xdr:colOff>
      <xdr:row>305</xdr:row>
      <xdr:rowOff>3810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9B514E-6936-ECD6-6B71-D1CA70878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106680</xdr:colOff>
      <xdr:row>247</xdr:row>
      <xdr:rowOff>102870</xdr:rowOff>
    </xdr:from>
    <xdr:to>
      <xdr:col>11</xdr:col>
      <xdr:colOff>251460</xdr:colOff>
      <xdr:row>262</xdr:row>
      <xdr:rowOff>102870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D24A12F-CE45-D15F-3BD4-ECAFBCC8D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in%20h&#7885;c%20&#7913;ng%20h&#7885;c%20trong%20QLK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Tin%20h&#7885;c%20&#7913;ng%20h&#7885;c%20trong%20QLKT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YNH TRANG" refreshedDate="45720.678853819445" createdVersion="8" refreshedVersion="8" minRefreshableVersion="3" recordCount="12" xr:uid="{47EC7F26-1942-4D4E-9AFF-782A2BBF6260}">
  <cacheSource type="worksheet">
    <worksheetSource ref="C250:J259" sheet="C2 BT4" r:id="rId2"/>
  </cacheSource>
  <cacheFields count="8">
    <cacheField name="Chứng từ" numFmtId="0">
      <sharedItems containsSemiMixedTypes="0" containsString="0" containsNumber="1" containsInteger="1" minValue="1" maxValue="12"/>
    </cacheField>
    <cacheField name="Ngày" numFmtId="164">
      <sharedItems containsSemiMixedTypes="0" containsNonDate="0" containsDate="1" containsString="0" minDate="2025-01-15T00:00:00" maxDate="2025-01-21T00:00:00"/>
    </cacheField>
    <cacheField name="Cửa hàng" numFmtId="0">
      <sharedItems count="3">
        <s v="Số 1"/>
        <s v="Số 2"/>
        <s v="Số 3"/>
      </sharedItems>
    </cacheField>
    <cacheField name="Mặt hàng" numFmtId="0">
      <sharedItems count="3">
        <s v="Xi măng"/>
        <s v="Sắt 6"/>
        <s v="Sắt 8"/>
      </sharedItems>
    </cacheField>
    <cacheField name="Số lượng" numFmtId="41">
      <sharedItems containsSemiMixedTypes="0" containsString="0" containsNumber="1" containsInteger="1" minValue="200" maxValue="5000"/>
    </cacheField>
    <cacheField name="Đơn giá" numFmtId="3">
      <sharedItems containsSemiMixedTypes="0" containsString="0" containsNumber="1" containsInteger="1" minValue="850" maxValue="5000"/>
    </cacheField>
    <cacheField name="Doanh thu" numFmtId="41">
      <sharedItems containsSemiMixedTypes="0" containsString="0" containsNumber="1" containsInteger="1" minValue="850000" maxValue="4250000"/>
    </cacheField>
    <cacheField name="Thuế (5%)" numFmtId="41">
      <sharedItems containsSemiMixedTypes="0" containsString="0" containsNumber="1" containsInteger="1" minValue="42500" maxValue="21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YNH TRANG" refreshedDate="45720.68427928241" createdVersion="8" refreshedVersion="8" minRefreshableVersion="3" recordCount="12" xr:uid="{F3373C4C-C7DF-4A31-9441-B8A8F0EE4F77}">
  <cacheSource type="worksheet">
    <worksheetSource ref="C4:J16" sheet="C2 BT4" r:id="rId2"/>
  </cacheSource>
  <cacheFields count="8">
    <cacheField name="Chứng từ" numFmtId="0">
      <sharedItems containsSemiMixedTypes="0" containsString="0" containsNumber="1" containsInteger="1" minValue="1" maxValue="12"/>
    </cacheField>
    <cacheField name="Ngày" numFmtId="164">
      <sharedItems containsSemiMixedTypes="0" containsNonDate="0" containsDate="1" containsString="0" minDate="2025-01-15T00:00:00" maxDate="2025-01-21T00:00:00"/>
    </cacheField>
    <cacheField name="Cửa hàng" numFmtId="0">
      <sharedItems count="4">
        <s v="Số 1"/>
        <s v="Số 2"/>
        <s v="Số 3"/>
        <s v="Số 3 "/>
      </sharedItems>
    </cacheField>
    <cacheField name="Mặt hàng" numFmtId="0">
      <sharedItems count="3">
        <s v="Xi măng"/>
        <s v="Sắt 6"/>
        <s v="Sắt 8"/>
      </sharedItems>
    </cacheField>
    <cacheField name="Số lượng" numFmtId="41">
      <sharedItems containsSemiMixedTypes="0" containsString="0" containsNumber="1" containsInteger="1" minValue="200" maxValue="5000"/>
    </cacheField>
    <cacheField name="Đơn giá" numFmtId="3">
      <sharedItems containsSemiMixedTypes="0" containsString="0" containsNumber="1" containsInteger="1" minValue="850" maxValue="5000"/>
    </cacheField>
    <cacheField name="Doanh thu" numFmtId="41">
      <sharedItems containsSemiMixedTypes="0" containsString="0" containsNumber="1" containsInteger="1" minValue="850000" maxValue="4250000"/>
    </cacheField>
    <cacheField name="Thuế (5%)" numFmtId="41">
      <sharedItems containsSemiMixedTypes="0" containsString="0" containsNumber="1" containsInteger="1" minValue="42500" maxValue="21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YNH TRANG" refreshedDate="45721.604513888888" createdVersion="8" refreshedVersion="8" minRefreshableVersion="3" recordCount="12" xr:uid="{6F8D1FEB-B47F-4299-B6AF-3ABBD8849C3A}">
  <cacheSource type="worksheet">
    <worksheetSource ref="C4:J16" sheet="pivot chart"/>
  </cacheSource>
  <cacheFields count="8">
    <cacheField name="Chứng từ" numFmtId="0">
      <sharedItems containsSemiMixedTypes="0" containsString="0" containsNumber="1" containsInteger="1" minValue="1" maxValue="12"/>
    </cacheField>
    <cacheField name="Ngày" numFmtId="164">
      <sharedItems containsSemiMixedTypes="0" containsNonDate="0" containsDate="1" containsString="0" minDate="2025-01-15T00:00:00" maxDate="2025-01-21T00:00:00"/>
    </cacheField>
    <cacheField name="Cửa hàng" numFmtId="0">
      <sharedItems count="3">
        <s v="Số 1"/>
        <s v="Số 2"/>
        <s v="Số 3"/>
      </sharedItems>
    </cacheField>
    <cacheField name="Mặt hàng" numFmtId="0">
      <sharedItems count="3">
        <s v="Xi măng"/>
        <s v="Sắt 6"/>
        <s v="Sắt 8"/>
      </sharedItems>
    </cacheField>
    <cacheField name="Số lượng" numFmtId="41">
      <sharedItems containsSemiMixedTypes="0" containsString="0" containsNumber="1" containsInteger="1" minValue="200" maxValue="5000"/>
    </cacheField>
    <cacheField name="Đơn giá" numFmtId="3">
      <sharedItems containsSemiMixedTypes="0" containsString="0" containsNumber="1" containsInteger="1" minValue="850" maxValue="5000"/>
    </cacheField>
    <cacheField name="Doanh thu" numFmtId="41">
      <sharedItems containsSemiMixedTypes="0" containsString="0" containsNumber="1" containsInteger="1" minValue="850000" maxValue="4250000"/>
    </cacheField>
    <cacheField name="Thuế (5%)" numFmtId="41">
      <sharedItems containsSemiMixedTypes="0" containsString="0" containsNumber="1" containsInteger="1" minValue="42500" maxValue="21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d v="2025-01-15T00:00:00"/>
    <x v="0"/>
    <x v="0"/>
    <n v="1000"/>
    <n v="850"/>
    <n v="850000"/>
    <n v="42500"/>
  </r>
  <r>
    <n v="2"/>
    <d v="2025-01-15T00:00:00"/>
    <x v="1"/>
    <x v="1"/>
    <n v="250"/>
    <n v="4500"/>
    <n v="1125000"/>
    <n v="56250"/>
  </r>
  <r>
    <n v="3"/>
    <d v="2025-01-15T00:00:00"/>
    <x v="2"/>
    <x v="1"/>
    <n v="200"/>
    <n v="4500"/>
    <n v="900000"/>
    <n v="45000"/>
  </r>
  <r>
    <n v="4"/>
    <d v="2025-01-16T00:00:00"/>
    <x v="0"/>
    <x v="1"/>
    <n v="450"/>
    <n v="4500"/>
    <n v="2025000"/>
    <n v="101250"/>
  </r>
  <r>
    <n v="5"/>
    <d v="2025-01-16T00:00:00"/>
    <x v="1"/>
    <x v="0"/>
    <n v="1500"/>
    <n v="850"/>
    <n v="1275000"/>
    <n v="63750"/>
  </r>
  <r>
    <n v="6"/>
    <d v="2025-01-17T00:00:00"/>
    <x v="0"/>
    <x v="2"/>
    <n v="300"/>
    <n v="5000"/>
    <n v="1500000"/>
    <n v="75000"/>
  </r>
  <r>
    <n v="7"/>
    <d v="2025-01-17T00:00:00"/>
    <x v="1"/>
    <x v="2"/>
    <n v="200"/>
    <n v="5000"/>
    <n v="1000000"/>
    <n v="50000"/>
  </r>
  <r>
    <n v="8"/>
    <d v="2025-01-17T00:00:00"/>
    <x v="2"/>
    <x v="0"/>
    <n v="5000"/>
    <n v="850"/>
    <n v="4250000"/>
    <n v="212500"/>
  </r>
  <r>
    <n v="9"/>
    <d v="2025-01-18T00:00:00"/>
    <x v="0"/>
    <x v="1"/>
    <n v="300"/>
    <n v="4500"/>
    <n v="1350000"/>
    <n v="67500"/>
  </r>
  <r>
    <n v="10"/>
    <d v="2025-01-19T00:00:00"/>
    <x v="1"/>
    <x v="0"/>
    <n v="3500"/>
    <n v="850"/>
    <n v="2975000"/>
    <n v="148750"/>
  </r>
  <r>
    <n v="11"/>
    <d v="2025-01-19T00:00:00"/>
    <x v="2"/>
    <x v="2"/>
    <n v="200"/>
    <n v="5000"/>
    <n v="1000000"/>
    <n v="50000"/>
  </r>
  <r>
    <n v="12"/>
    <d v="2025-01-20T00:00:00"/>
    <x v="0"/>
    <x v="2"/>
    <n v="250"/>
    <n v="5000"/>
    <n v="1250000"/>
    <n v="62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d v="2025-01-15T00:00:00"/>
    <x v="0"/>
    <x v="0"/>
    <n v="1000"/>
    <n v="850"/>
    <n v="850000"/>
    <n v="42500"/>
  </r>
  <r>
    <n v="2"/>
    <d v="2025-01-15T00:00:00"/>
    <x v="1"/>
    <x v="1"/>
    <n v="250"/>
    <n v="4500"/>
    <n v="1125000"/>
    <n v="56250"/>
  </r>
  <r>
    <n v="3"/>
    <d v="2025-01-15T00:00:00"/>
    <x v="2"/>
    <x v="1"/>
    <n v="200"/>
    <n v="4500"/>
    <n v="900000"/>
    <n v="45000"/>
  </r>
  <r>
    <n v="4"/>
    <d v="2025-01-16T00:00:00"/>
    <x v="0"/>
    <x v="1"/>
    <n v="450"/>
    <n v="4500"/>
    <n v="2025000"/>
    <n v="101250"/>
  </r>
  <r>
    <n v="5"/>
    <d v="2025-01-16T00:00:00"/>
    <x v="1"/>
    <x v="0"/>
    <n v="1500"/>
    <n v="850"/>
    <n v="1275000"/>
    <n v="63750"/>
  </r>
  <r>
    <n v="6"/>
    <d v="2025-01-17T00:00:00"/>
    <x v="0"/>
    <x v="2"/>
    <n v="300"/>
    <n v="5000"/>
    <n v="1500000"/>
    <n v="75000"/>
  </r>
  <r>
    <n v="7"/>
    <d v="2025-01-17T00:00:00"/>
    <x v="1"/>
    <x v="2"/>
    <n v="200"/>
    <n v="5000"/>
    <n v="1000000"/>
    <n v="50000"/>
  </r>
  <r>
    <n v="8"/>
    <d v="2025-01-17T00:00:00"/>
    <x v="2"/>
    <x v="0"/>
    <n v="5000"/>
    <n v="850"/>
    <n v="4250000"/>
    <n v="212500"/>
  </r>
  <r>
    <n v="9"/>
    <d v="2025-01-18T00:00:00"/>
    <x v="0"/>
    <x v="1"/>
    <n v="300"/>
    <n v="4500"/>
    <n v="1350000"/>
    <n v="67500"/>
  </r>
  <r>
    <n v="10"/>
    <d v="2025-01-19T00:00:00"/>
    <x v="1"/>
    <x v="0"/>
    <n v="3500"/>
    <n v="850"/>
    <n v="2975000"/>
    <n v="148750"/>
  </r>
  <r>
    <n v="11"/>
    <d v="2025-01-19T00:00:00"/>
    <x v="3"/>
    <x v="2"/>
    <n v="200"/>
    <n v="5000"/>
    <n v="1000000"/>
    <n v="50000"/>
  </r>
  <r>
    <n v="12"/>
    <d v="2025-01-20T00:00:00"/>
    <x v="0"/>
    <x v="2"/>
    <n v="250"/>
    <n v="5000"/>
    <n v="1250000"/>
    <n v="625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d v="2025-01-15T00:00:00"/>
    <x v="0"/>
    <x v="0"/>
    <n v="1000"/>
    <n v="850"/>
    <n v="850000"/>
    <n v="42500"/>
  </r>
  <r>
    <n v="2"/>
    <d v="2025-01-15T00:00:00"/>
    <x v="1"/>
    <x v="1"/>
    <n v="250"/>
    <n v="4500"/>
    <n v="1125000"/>
    <n v="56250"/>
  </r>
  <r>
    <n v="3"/>
    <d v="2025-01-15T00:00:00"/>
    <x v="2"/>
    <x v="1"/>
    <n v="200"/>
    <n v="4500"/>
    <n v="900000"/>
    <n v="45000"/>
  </r>
  <r>
    <n v="4"/>
    <d v="2025-01-16T00:00:00"/>
    <x v="0"/>
    <x v="1"/>
    <n v="450"/>
    <n v="4500"/>
    <n v="2025000"/>
    <n v="101250"/>
  </r>
  <r>
    <n v="5"/>
    <d v="2025-01-16T00:00:00"/>
    <x v="1"/>
    <x v="0"/>
    <n v="1500"/>
    <n v="850"/>
    <n v="1275000"/>
    <n v="63750"/>
  </r>
  <r>
    <n v="6"/>
    <d v="2025-01-17T00:00:00"/>
    <x v="0"/>
    <x v="2"/>
    <n v="300"/>
    <n v="5000"/>
    <n v="1500000"/>
    <n v="75000"/>
  </r>
  <r>
    <n v="7"/>
    <d v="2025-01-17T00:00:00"/>
    <x v="1"/>
    <x v="2"/>
    <n v="200"/>
    <n v="5000"/>
    <n v="1000000"/>
    <n v="50000"/>
  </r>
  <r>
    <n v="8"/>
    <d v="2025-01-17T00:00:00"/>
    <x v="2"/>
    <x v="0"/>
    <n v="5000"/>
    <n v="850"/>
    <n v="4250000"/>
    <n v="212500"/>
  </r>
  <r>
    <n v="9"/>
    <d v="2025-01-18T00:00:00"/>
    <x v="0"/>
    <x v="1"/>
    <n v="300"/>
    <n v="4500"/>
    <n v="1350000"/>
    <n v="67500"/>
  </r>
  <r>
    <n v="10"/>
    <d v="2025-01-19T00:00:00"/>
    <x v="1"/>
    <x v="0"/>
    <n v="3500"/>
    <n v="850"/>
    <n v="2975000"/>
    <n v="148750"/>
  </r>
  <r>
    <n v="11"/>
    <d v="2025-01-19T00:00:00"/>
    <x v="2"/>
    <x v="2"/>
    <n v="200"/>
    <n v="5000"/>
    <n v="1000000"/>
    <n v="50000"/>
  </r>
  <r>
    <n v="12"/>
    <d v="2025-01-20T00:00:00"/>
    <x v="0"/>
    <x v="2"/>
    <n v="250"/>
    <n v="5000"/>
    <n v="1250000"/>
    <n v="6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1FBDC-C44E-4BEC-AEF5-4C8AA29A9A8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291:E304" firstHeaderRow="0" firstDataRow="1" firstDataCol="1"/>
  <pivotFields count="8">
    <pivotField showAll="0"/>
    <pivotField numFmtId="164"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41" showAll="0"/>
    <pivotField numFmtId="3" showAll="0"/>
    <pivotField dataField="1" numFmtId="41" showAll="0"/>
    <pivotField numFmtId="41" showAll="0"/>
  </pivotFields>
  <rowFields count="2">
    <field x="3"/>
    <field x="2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3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oanh thu" fld="6" subtotal="average" baseField="0" baseItem="1" numFmtId="41"/>
    <dataField name="Max of Doanh thu2" fld="6" subtotal="max" baseField="0" baseItem="1" numFmtId="4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9EFB32-842F-4F8B-B761-3853FC06D87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C271:E284" firstHeaderRow="0" firstDataRow="1" firstDataCol="1"/>
  <pivotFields count="8"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41" showAll="0"/>
    <pivotField numFmtId="3" showAll="0"/>
    <pivotField numFmtId="41" showAll="0"/>
    <pivotField dataField="1" numFmtId="41" showAll="0"/>
  </pivotFields>
  <rowFields count="2">
    <field x="3"/>
    <field x="2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huế (5%)" fld="7" baseField="0" baseItem="0" numFmtId="41"/>
    <dataField name="Average of Thuế (5%)2" fld="7" subtotal="average" baseField="2" baseItem="0" numFmtId="4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3D079-C97E-47F3-A0B7-B423D2F9FEE0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C249:D262" firstHeaderRow="1" firstDataRow="1" firstDataCol="1"/>
  <pivotFields count="8">
    <pivotField showAll="0"/>
    <pivotField numFmtId="164" showAll="0"/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41" showAll="0"/>
    <pivotField numFmtId="3" showAll="0"/>
    <pivotField dataField="1" numFmtId="41" showAll="0"/>
    <pivotField numFmtId="41" showAll="0"/>
  </pivotFields>
  <rowFields count="2">
    <field x="3"/>
    <field x="2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um of Doanh thu" fld="6" baseField="0" baseItem="0" numFmtId="4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3C46-C2DE-4229-ACCF-FCB7EC86227C}">
  <dimension ref="B4:K304"/>
  <sheetViews>
    <sheetView topLeftCell="A174" workbookViewId="0">
      <selection activeCell="B20" sqref="B20"/>
    </sheetView>
  </sheetViews>
  <sheetFormatPr defaultRowHeight="14.4" outlineLevelRow="2" x14ac:dyDescent="0.3"/>
  <cols>
    <col min="3" max="3" width="12.5546875" bestFit="1" customWidth="1"/>
    <col min="4" max="4" width="16.44140625" bestFit="1" customWidth="1"/>
    <col min="5" max="5" width="20.6640625" bestFit="1" customWidth="1"/>
    <col min="6" max="6" width="10.77734375" customWidth="1"/>
    <col min="7" max="7" width="11.33203125" bestFit="1" customWidth="1"/>
    <col min="8" max="8" width="12.109375" customWidth="1"/>
    <col min="9" max="9" width="12.6640625" customWidth="1"/>
    <col min="10" max="10" width="9.6640625" bestFit="1" customWidth="1"/>
    <col min="11" max="12" width="8" bestFit="1" customWidth="1"/>
    <col min="13" max="13" width="9.6640625" bestFit="1" customWidth="1"/>
    <col min="14" max="14" width="7" bestFit="1" customWidth="1"/>
    <col min="15" max="15" width="10.21875" bestFit="1" customWidth="1"/>
    <col min="16" max="16" width="11.33203125" bestFit="1" customWidth="1"/>
  </cols>
  <sheetData>
    <row r="4" spans="3:10" x14ac:dyDescent="0.3">
      <c r="C4" s="1" t="s">
        <v>4</v>
      </c>
      <c r="D4" s="5" t="s">
        <v>5</v>
      </c>
      <c r="E4" s="1" t="s">
        <v>6</v>
      </c>
      <c r="F4" s="1" t="s">
        <v>7</v>
      </c>
      <c r="G4" s="3" t="s">
        <v>0</v>
      </c>
      <c r="H4" s="6" t="s">
        <v>8</v>
      </c>
      <c r="I4" s="3" t="s">
        <v>1</v>
      </c>
      <c r="J4" s="3" t="s">
        <v>2</v>
      </c>
    </row>
    <row r="5" spans="3:10" x14ac:dyDescent="0.3">
      <c r="C5" s="1">
        <v>1</v>
      </c>
      <c r="D5" s="5">
        <v>45672</v>
      </c>
      <c r="E5" s="1" t="s">
        <v>9</v>
      </c>
      <c r="F5" s="1" t="s">
        <v>10</v>
      </c>
      <c r="G5" s="3">
        <v>1000</v>
      </c>
      <c r="H5" s="6">
        <v>850</v>
      </c>
      <c r="I5" s="3">
        <v>850000</v>
      </c>
      <c r="J5" s="3">
        <v>42500</v>
      </c>
    </row>
    <row r="6" spans="3:10" x14ac:dyDescent="0.3">
      <c r="C6" s="1">
        <v>2</v>
      </c>
      <c r="D6" s="5">
        <v>45672</v>
      </c>
      <c r="E6" s="1" t="s">
        <v>11</v>
      </c>
      <c r="F6" s="1" t="s">
        <v>12</v>
      </c>
      <c r="G6" s="3">
        <v>250</v>
      </c>
      <c r="H6" s="6">
        <v>4500</v>
      </c>
      <c r="I6" s="3">
        <v>1125000</v>
      </c>
      <c r="J6" s="3">
        <v>56250</v>
      </c>
    </row>
    <row r="7" spans="3:10" x14ac:dyDescent="0.3">
      <c r="C7" s="1">
        <v>3</v>
      </c>
      <c r="D7" s="5">
        <v>45672</v>
      </c>
      <c r="E7" s="1" t="s">
        <v>13</v>
      </c>
      <c r="F7" s="1" t="s">
        <v>12</v>
      </c>
      <c r="G7" s="3">
        <v>200</v>
      </c>
      <c r="H7" s="6">
        <v>4500</v>
      </c>
      <c r="I7" s="3">
        <v>900000</v>
      </c>
      <c r="J7" s="3">
        <v>45000</v>
      </c>
    </row>
    <row r="8" spans="3:10" x14ac:dyDescent="0.3">
      <c r="C8" s="1">
        <v>4</v>
      </c>
      <c r="D8" s="5">
        <v>45673</v>
      </c>
      <c r="E8" s="1" t="s">
        <v>9</v>
      </c>
      <c r="F8" s="1" t="s">
        <v>12</v>
      </c>
      <c r="G8" s="3">
        <v>450</v>
      </c>
      <c r="H8" s="6">
        <v>4500</v>
      </c>
      <c r="I8" s="3">
        <v>2025000</v>
      </c>
      <c r="J8" s="3">
        <v>101250</v>
      </c>
    </row>
    <row r="9" spans="3:10" x14ac:dyDescent="0.3">
      <c r="C9" s="1">
        <v>5</v>
      </c>
      <c r="D9" s="5">
        <v>45673</v>
      </c>
      <c r="E9" s="1" t="s">
        <v>11</v>
      </c>
      <c r="F9" s="1" t="s">
        <v>10</v>
      </c>
      <c r="G9" s="3">
        <v>1500</v>
      </c>
      <c r="H9" s="6">
        <v>850</v>
      </c>
      <c r="I9" s="3">
        <v>1275000</v>
      </c>
      <c r="J9" s="3">
        <v>63750</v>
      </c>
    </row>
    <row r="10" spans="3:10" x14ac:dyDescent="0.3">
      <c r="C10" s="1">
        <v>6</v>
      </c>
      <c r="D10" s="5">
        <v>45674</v>
      </c>
      <c r="E10" s="1" t="s">
        <v>9</v>
      </c>
      <c r="F10" s="1" t="s">
        <v>14</v>
      </c>
      <c r="G10" s="3">
        <v>300</v>
      </c>
      <c r="H10" s="6">
        <v>5000</v>
      </c>
      <c r="I10" s="3">
        <v>1500000</v>
      </c>
      <c r="J10" s="3">
        <v>75000</v>
      </c>
    </row>
    <row r="11" spans="3:10" x14ac:dyDescent="0.3">
      <c r="C11" s="1">
        <v>7</v>
      </c>
      <c r="D11" s="5">
        <v>45674</v>
      </c>
      <c r="E11" s="1" t="s">
        <v>11</v>
      </c>
      <c r="F11" s="1" t="s">
        <v>14</v>
      </c>
      <c r="G11" s="3">
        <v>200</v>
      </c>
      <c r="H11" s="6">
        <v>5000</v>
      </c>
      <c r="I11" s="3">
        <v>1000000</v>
      </c>
      <c r="J11" s="3">
        <v>50000</v>
      </c>
    </row>
    <row r="12" spans="3:10" x14ac:dyDescent="0.3">
      <c r="C12" s="1">
        <v>8</v>
      </c>
      <c r="D12" s="5">
        <v>45674</v>
      </c>
      <c r="E12" s="1" t="s">
        <v>13</v>
      </c>
      <c r="F12" s="1" t="s">
        <v>10</v>
      </c>
      <c r="G12" s="3">
        <v>5000</v>
      </c>
      <c r="H12" s="6">
        <v>850</v>
      </c>
      <c r="I12" s="3">
        <v>4250000</v>
      </c>
      <c r="J12" s="3">
        <v>212500</v>
      </c>
    </row>
    <row r="13" spans="3:10" x14ac:dyDescent="0.3">
      <c r="C13" s="1">
        <v>9</v>
      </c>
      <c r="D13" s="5">
        <v>45675</v>
      </c>
      <c r="E13" s="1" t="s">
        <v>9</v>
      </c>
      <c r="F13" s="1" t="s">
        <v>12</v>
      </c>
      <c r="G13" s="3">
        <v>300</v>
      </c>
      <c r="H13" s="6">
        <v>4500</v>
      </c>
      <c r="I13" s="3">
        <v>1350000</v>
      </c>
      <c r="J13" s="3">
        <v>67500</v>
      </c>
    </row>
    <row r="14" spans="3:10" x14ac:dyDescent="0.3">
      <c r="C14" s="1">
        <v>10</v>
      </c>
      <c r="D14" s="5">
        <v>45676</v>
      </c>
      <c r="E14" s="1" t="s">
        <v>11</v>
      </c>
      <c r="F14" s="1" t="s">
        <v>10</v>
      </c>
      <c r="G14" s="3">
        <v>3500</v>
      </c>
      <c r="H14" s="6">
        <v>850</v>
      </c>
      <c r="I14" s="3">
        <v>2975000</v>
      </c>
      <c r="J14" s="3">
        <v>148750</v>
      </c>
    </row>
    <row r="15" spans="3:10" x14ac:dyDescent="0.3">
      <c r="C15" s="1">
        <v>11</v>
      </c>
      <c r="D15" s="5">
        <v>45676</v>
      </c>
      <c r="E15" s="1" t="s">
        <v>13</v>
      </c>
      <c r="F15" s="1" t="s">
        <v>14</v>
      </c>
      <c r="G15" s="3">
        <v>200</v>
      </c>
      <c r="H15" s="6">
        <v>5000</v>
      </c>
      <c r="I15" s="3">
        <v>1000000</v>
      </c>
      <c r="J15" s="3">
        <v>50000</v>
      </c>
    </row>
    <row r="16" spans="3:10" x14ac:dyDescent="0.3">
      <c r="C16" s="1">
        <v>12</v>
      </c>
      <c r="D16" s="5">
        <v>45677</v>
      </c>
      <c r="E16" s="1" t="s">
        <v>9</v>
      </c>
      <c r="F16" s="1" t="s">
        <v>14</v>
      </c>
      <c r="G16" s="3">
        <v>250</v>
      </c>
      <c r="H16" s="6">
        <v>5000</v>
      </c>
      <c r="I16" s="3">
        <v>1250000</v>
      </c>
      <c r="J16" s="3">
        <v>62500</v>
      </c>
    </row>
    <row r="19" spans="3:10" x14ac:dyDescent="0.3">
      <c r="C19" t="s">
        <v>15</v>
      </c>
    </row>
    <row r="22" spans="3:10" x14ac:dyDescent="0.3">
      <c r="C22" s="1" t="s">
        <v>4</v>
      </c>
      <c r="D22" s="5" t="s">
        <v>5</v>
      </c>
      <c r="E22" s="1" t="s">
        <v>6</v>
      </c>
      <c r="F22" s="1" t="s">
        <v>7</v>
      </c>
      <c r="G22" s="3" t="s">
        <v>0</v>
      </c>
      <c r="H22" s="6" t="s">
        <v>8</v>
      </c>
      <c r="I22" s="3" t="s">
        <v>1</v>
      </c>
      <c r="J22" s="3" t="s">
        <v>2</v>
      </c>
    </row>
    <row r="23" spans="3:10" x14ac:dyDescent="0.3">
      <c r="C23" s="1">
        <v>2</v>
      </c>
      <c r="D23" s="5">
        <v>45672</v>
      </c>
      <c r="E23" s="1" t="s">
        <v>11</v>
      </c>
      <c r="F23" s="1" t="s">
        <v>12</v>
      </c>
      <c r="G23" s="3">
        <v>250</v>
      </c>
      <c r="H23" s="6">
        <v>4500</v>
      </c>
      <c r="I23" s="3">
        <v>1125000</v>
      </c>
      <c r="J23" s="3">
        <v>56250</v>
      </c>
    </row>
    <row r="24" spans="3:10" x14ac:dyDescent="0.3">
      <c r="C24" s="1">
        <v>3</v>
      </c>
      <c r="D24" s="5">
        <v>45672</v>
      </c>
      <c r="E24" s="1" t="s">
        <v>13</v>
      </c>
      <c r="F24" s="1" t="s">
        <v>12</v>
      </c>
      <c r="G24" s="3">
        <v>200</v>
      </c>
      <c r="H24" s="6">
        <v>4500</v>
      </c>
      <c r="I24" s="3">
        <v>900000</v>
      </c>
      <c r="J24" s="3">
        <v>45000</v>
      </c>
    </row>
    <row r="25" spans="3:10" x14ac:dyDescent="0.3">
      <c r="C25" s="1">
        <v>1</v>
      </c>
      <c r="D25" s="5">
        <v>45672</v>
      </c>
      <c r="E25" s="1" t="s">
        <v>9</v>
      </c>
      <c r="F25" s="1" t="s">
        <v>10</v>
      </c>
      <c r="G25" s="3">
        <v>1000</v>
      </c>
      <c r="H25" s="6">
        <v>850</v>
      </c>
      <c r="I25" s="3">
        <v>850000</v>
      </c>
      <c r="J25" s="3">
        <v>42500</v>
      </c>
    </row>
    <row r="26" spans="3:10" x14ac:dyDescent="0.3">
      <c r="C26" s="1">
        <v>4</v>
      </c>
      <c r="D26" s="5">
        <v>45673</v>
      </c>
      <c r="E26" s="1" t="s">
        <v>9</v>
      </c>
      <c r="F26" s="1" t="s">
        <v>12</v>
      </c>
      <c r="G26" s="3">
        <v>450</v>
      </c>
      <c r="H26" s="6">
        <v>4500</v>
      </c>
      <c r="I26" s="3">
        <v>2025000</v>
      </c>
      <c r="J26" s="3">
        <v>101250</v>
      </c>
    </row>
    <row r="27" spans="3:10" x14ac:dyDescent="0.3">
      <c r="C27" s="1">
        <v>5</v>
      </c>
      <c r="D27" s="5">
        <v>45673</v>
      </c>
      <c r="E27" s="1" t="s">
        <v>11</v>
      </c>
      <c r="F27" s="1" t="s">
        <v>10</v>
      </c>
      <c r="G27" s="3">
        <v>1500</v>
      </c>
      <c r="H27" s="6">
        <v>850</v>
      </c>
      <c r="I27" s="3">
        <v>1275000</v>
      </c>
      <c r="J27" s="3">
        <v>63750</v>
      </c>
    </row>
    <row r="28" spans="3:10" x14ac:dyDescent="0.3">
      <c r="C28" s="1">
        <v>6</v>
      </c>
      <c r="D28" s="5">
        <v>45674</v>
      </c>
      <c r="E28" s="1" t="s">
        <v>9</v>
      </c>
      <c r="F28" s="1" t="s">
        <v>14</v>
      </c>
      <c r="G28" s="3">
        <v>300</v>
      </c>
      <c r="H28" s="6">
        <v>5000</v>
      </c>
      <c r="I28" s="3">
        <v>1500000</v>
      </c>
      <c r="J28" s="3">
        <v>75000</v>
      </c>
    </row>
    <row r="29" spans="3:10" x14ac:dyDescent="0.3">
      <c r="C29" s="1">
        <v>7</v>
      </c>
      <c r="D29" s="5">
        <v>45674</v>
      </c>
      <c r="E29" s="1" t="s">
        <v>11</v>
      </c>
      <c r="F29" s="1" t="s">
        <v>14</v>
      </c>
      <c r="G29" s="3">
        <v>200</v>
      </c>
      <c r="H29" s="6">
        <v>5000</v>
      </c>
      <c r="I29" s="3">
        <v>1000000</v>
      </c>
      <c r="J29" s="3">
        <v>50000</v>
      </c>
    </row>
    <row r="30" spans="3:10" x14ac:dyDescent="0.3">
      <c r="C30" s="1">
        <v>8</v>
      </c>
      <c r="D30" s="5">
        <v>45674</v>
      </c>
      <c r="E30" s="1" t="s">
        <v>13</v>
      </c>
      <c r="F30" s="1" t="s">
        <v>10</v>
      </c>
      <c r="G30" s="3">
        <v>5000</v>
      </c>
      <c r="H30" s="6">
        <v>850</v>
      </c>
      <c r="I30" s="3">
        <v>4250000</v>
      </c>
      <c r="J30" s="3">
        <v>212500</v>
      </c>
    </row>
    <row r="31" spans="3:10" x14ac:dyDescent="0.3">
      <c r="C31" s="1">
        <v>9</v>
      </c>
      <c r="D31" s="5">
        <v>45675</v>
      </c>
      <c r="E31" s="1" t="s">
        <v>9</v>
      </c>
      <c r="F31" s="1" t="s">
        <v>12</v>
      </c>
      <c r="G31" s="3">
        <v>300</v>
      </c>
      <c r="H31" s="6">
        <v>4500</v>
      </c>
      <c r="I31" s="3">
        <v>1350000</v>
      </c>
      <c r="J31" s="3">
        <v>67500</v>
      </c>
    </row>
    <row r="32" spans="3:10" x14ac:dyDescent="0.3">
      <c r="C32" s="1">
        <v>11</v>
      </c>
      <c r="D32" s="5">
        <v>45676</v>
      </c>
      <c r="E32" s="1" t="s">
        <v>16</v>
      </c>
      <c r="F32" s="1" t="s">
        <v>14</v>
      </c>
      <c r="G32" s="3">
        <v>200</v>
      </c>
      <c r="H32" s="6">
        <v>5000</v>
      </c>
      <c r="I32" s="3">
        <v>1000000</v>
      </c>
      <c r="J32" s="3">
        <v>50000</v>
      </c>
    </row>
    <row r="33" spans="3:10" x14ac:dyDescent="0.3">
      <c r="C33" s="1">
        <v>10</v>
      </c>
      <c r="D33" s="5">
        <v>45676</v>
      </c>
      <c r="E33" s="1" t="s">
        <v>11</v>
      </c>
      <c r="F33" s="1" t="s">
        <v>10</v>
      </c>
      <c r="G33" s="3">
        <v>3500</v>
      </c>
      <c r="H33" s="6">
        <v>850</v>
      </c>
      <c r="I33" s="3">
        <v>2975000</v>
      </c>
      <c r="J33" s="3">
        <v>148750</v>
      </c>
    </row>
    <row r="34" spans="3:10" x14ac:dyDescent="0.3">
      <c r="C34" s="1">
        <v>12</v>
      </c>
      <c r="D34" s="5">
        <v>45677</v>
      </c>
      <c r="E34" s="1" t="s">
        <v>9</v>
      </c>
      <c r="F34" s="1" t="s">
        <v>17</v>
      </c>
      <c r="G34" s="3">
        <v>250</v>
      </c>
      <c r="H34" s="6">
        <v>5000</v>
      </c>
      <c r="I34" s="3">
        <v>1250000</v>
      </c>
      <c r="J34" s="3">
        <v>62500</v>
      </c>
    </row>
    <row r="37" spans="3:10" x14ac:dyDescent="0.3">
      <c r="C37" s="4" t="s">
        <v>40</v>
      </c>
    </row>
    <row r="38" spans="3:10" x14ac:dyDescent="0.3">
      <c r="C38" t="s">
        <v>43</v>
      </c>
    </row>
    <row r="39" spans="3:10" x14ac:dyDescent="0.3">
      <c r="C39" s="1" t="s">
        <v>4</v>
      </c>
      <c r="D39" s="5" t="s">
        <v>5</v>
      </c>
      <c r="E39" s="1" t="s">
        <v>6</v>
      </c>
      <c r="F39" s="1" t="s">
        <v>7</v>
      </c>
      <c r="G39" s="3" t="s">
        <v>0</v>
      </c>
      <c r="H39" s="6" t="s">
        <v>8</v>
      </c>
      <c r="I39" s="3" t="s">
        <v>1</v>
      </c>
      <c r="J39" s="3" t="s">
        <v>2</v>
      </c>
    </row>
    <row r="40" spans="3:10" x14ac:dyDescent="0.3">
      <c r="C40" s="1">
        <v>1</v>
      </c>
      <c r="D40" s="5">
        <v>45672</v>
      </c>
      <c r="E40" s="1" t="s">
        <v>9</v>
      </c>
      <c r="F40" s="1" t="s">
        <v>10</v>
      </c>
      <c r="G40" s="3">
        <v>1000</v>
      </c>
      <c r="H40" s="6">
        <v>850</v>
      </c>
      <c r="I40" s="3">
        <v>850000</v>
      </c>
      <c r="J40" s="3">
        <v>42500</v>
      </c>
    </row>
    <row r="41" spans="3:10" x14ac:dyDescent="0.3">
      <c r="C41" s="1">
        <v>4</v>
      </c>
      <c r="D41" s="5">
        <v>45673</v>
      </c>
      <c r="E41" s="1" t="s">
        <v>9</v>
      </c>
      <c r="F41" s="1" t="s">
        <v>12</v>
      </c>
      <c r="G41" s="3">
        <v>450</v>
      </c>
      <c r="H41" s="6">
        <v>4500</v>
      </c>
      <c r="I41" s="3">
        <v>2025000</v>
      </c>
      <c r="J41" s="3">
        <v>101250</v>
      </c>
    </row>
    <row r="42" spans="3:10" x14ac:dyDescent="0.3">
      <c r="C42" s="1">
        <v>6</v>
      </c>
      <c r="D42" s="5">
        <v>45674</v>
      </c>
      <c r="E42" s="1" t="s">
        <v>9</v>
      </c>
      <c r="F42" s="1" t="s">
        <v>14</v>
      </c>
      <c r="G42" s="3">
        <v>300</v>
      </c>
      <c r="H42" s="6">
        <v>5000</v>
      </c>
      <c r="I42" s="3">
        <v>1500000</v>
      </c>
      <c r="J42" s="3">
        <v>75000</v>
      </c>
    </row>
    <row r="43" spans="3:10" x14ac:dyDescent="0.3">
      <c r="C43" s="1">
        <v>9</v>
      </c>
      <c r="D43" s="5">
        <v>45675</v>
      </c>
      <c r="E43" s="1" t="s">
        <v>9</v>
      </c>
      <c r="F43" s="1" t="s">
        <v>12</v>
      </c>
      <c r="G43" s="3">
        <v>300</v>
      </c>
      <c r="H43" s="6">
        <v>4500</v>
      </c>
      <c r="I43" s="3">
        <v>1350000</v>
      </c>
      <c r="J43" s="3">
        <v>67500</v>
      </c>
    </row>
    <row r="44" spans="3:10" x14ac:dyDescent="0.3">
      <c r="C44" s="1">
        <v>12</v>
      </c>
      <c r="D44" s="5">
        <v>45677</v>
      </c>
      <c r="E44" s="1" t="s">
        <v>9</v>
      </c>
      <c r="F44" s="1" t="s">
        <v>17</v>
      </c>
      <c r="G44" s="3">
        <v>250</v>
      </c>
      <c r="H44" s="6">
        <v>5000</v>
      </c>
      <c r="I44" s="3">
        <v>1250000</v>
      </c>
      <c r="J44" s="3">
        <v>62500</v>
      </c>
    </row>
    <row r="47" spans="3:10" x14ac:dyDescent="0.3">
      <c r="C47" s="1" t="s">
        <v>4</v>
      </c>
      <c r="D47" s="5" t="s">
        <v>5</v>
      </c>
      <c r="E47" s="1" t="s">
        <v>6</v>
      </c>
      <c r="F47" s="1" t="s">
        <v>7</v>
      </c>
      <c r="G47" s="3" t="s">
        <v>0</v>
      </c>
      <c r="H47" s="6" t="s">
        <v>8</v>
      </c>
      <c r="I47" s="3" t="s">
        <v>1</v>
      </c>
      <c r="J47" s="3" t="s">
        <v>2</v>
      </c>
    </row>
    <row r="48" spans="3:10" x14ac:dyDescent="0.3">
      <c r="C48" s="1">
        <v>2</v>
      </c>
      <c r="D48" s="5">
        <v>45672</v>
      </c>
      <c r="E48" s="1" t="s">
        <v>11</v>
      </c>
      <c r="F48" s="1" t="s">
        <v>12</v>
      </c>
      <c r="G48" s="3">
        <v>250</v>
      </c>
      <c r="H48" s="6">
        <v>4500</v>
      </c>
      <c r="I48" s="3">
        <v>1125000</v>
      </c>
      <c r="J48" s="3">
        <v>56250</v>
      </c>
    </row>
    <row r="49" spans="2:10" x14ac:dyDescent="0.3">
      <c r="C49" s="1">
        <v>5</v>
      </c>
      <c r="D49" s="5">
        <v>45673</v>
      </c>
      <c r="E49" s="1" t="s">
        <v>11</v>
      </c>
      <c r="F49" s="1" t="s">
        <v>10</v>
      </c>
      <c r="G49" s="3">
        <v>1500</v>
      </c>
      <c r="H49" s="6">
        <v>850</v>
      </c>
      <c r="I49" s="3">
        <v>1275000</v>
      </c>
      <c r="J49" s="3">
        <v>63750</v>
      </c>
    </row>
    <row r="50" spans="2:10" x14ac:dyDescent="0.3">
      <c r="C50" s="1">
        <v>7</v>
      </c>
      <c r="D50" s="5">
        <v>45674</v>
      </c>
      <c r="E50" s="1" t="s">
        <v>11</v>
      </c>
      <c r="F50" s="1" t="s">
        <v>14</v>
      </c>
      <c r="G50" s="3">
        <v>200</v>
      </c>
      <c r="H50" s="6">
        <v>5000</v>
      </c>
      <c r="I50" s="3">
        <v>1000000</v>
      </c>
      <c r="J50" s="3">
        <v>50000</v>
      </c>
    </row>
    <row r="51" spans="2:10" x14ac:dyDescent="0.3">
      <c r="C51" s="1">
        <v>10</v>
      </c>
      <c r="D51" s="5">
        <v>45676</v>
      </c>
      <c r="E51" s="1" t="s">
        <v>11</v>
      </c>
      <c r="F51" s="1" t="s">
        <v>10</v>
      </c>
      <c r="G51" s="3">
        <v>3500</v>
      </c>
      <c r="H51" s="6">
        <v>850</v>
      </c>
      <c r="I51" s="3">
        <v>2975000</v>
      </c>
      <c r="J51" s="3">
        <v>148750</v>
      </c>
    </row>
    <row r="54" spans="2:10" x14ac:dyDescent="0.3">
      <c r="C54" t="s">
        <v>44</v>
      </c>
    </row>
    <row r="56" spans="2:10" x14ac:dyDescent="0.3">
      <c r="B56" t="s">
        <v>12</v>
      </c>
      <c r="C56" s="1" t="s">
        <v>4</v>
      </c>
      <c r="D56" s="5" t="s">
        <v>5</v>
      </c>
      <c r="E56" s="1" t="s">
        <v>6</v>
      </c>
      <c r="F56" s="1" t="s">
        <v>7</v>
      </c>
      <c r="G56" s="3" t="s">
        <v>0</v>
      </c>
      <c r="H56" s="6" t="s">
        <v>8</v>
      </c>
      <c r="I56" s="3" t="s">
        <v>1</v>
      </c>
      <c r="J56" s="3" t="s">
        <v>2</v>
      </c>
    </row>
    <row r="57" spans="2:10" x14ac:dyDescent="0.3">
      <c r="C57" s="1">
        <v>2</v>
      </c>
      <c r="D57" s="5">
        <v>45672</v>
      </c>
      <c r="E57" s="1" t="s">
        <v>11</v>
      </c>
      <c r="F57" s="1" t="s">
        <v>12</v>
      </c>
      <c r="G57" s="3">
        <v>250</v>
      </c>
      <c r="H57" s="6">
        <v>4500</v>
      </c>
      <c r="I57" s="3">
        <v>1125000</v>
      </c>
      <c r="J57" s="3">
        <v>56250</v>
      </c>
    </row>
    <row r="58" spans="2:10" x14ac:dyDescent="0.3">
      <c r="C58" s="1">
        <v>3</v>
      </c>
      <c r="D58" s="5">
        <v>45672</v>
      </c>
      <c r="E58" s="1" t="s">
        <v>13</v>
      </c>
      <c r="F58" s="1" t="s">
        <v>12</v>
      </c>
      <c r="G58" s="3">
        <v>200</v>
      </c>
      <c r="H58" s="6">
        <v>4500</v>
      </c>
      <c r="I58" s="3">
        <v>900000</v>
      </c>
      <c r="J58" s="3">
        <v>45000</v>
      </c>
    </row>
    <row r="59" spans="2:10" x14ac:dyDescent="0.3">
      <c r="C59" s="1">
        <v>4</v>
      </c>
      <c r="D59" s="5">
        <v>45673</v>
      </c>
      <c r="E59" s="1" t="s">
        <v>9</v>
      </c>
      <c r="F59" s="1" t="s">
        <v>12</v>
      </c>
      <c r="G59" s="3">
        <v>450</v>
      </c>
      <c r="H59" s="6">
        <v>4500</v>
      </c>
      <c r="I59" s="3">
        <v>2025000</v>
      </c>
      <c r="J59" s="3">
        <v>101250</v>
      </c>
    </row>
    <row r="60" spans="2:10" x14ac:dyDescent="0.3">
      <c r="C60" s="1">
        <v>9</v>
      </c>
      <c r="D60" s="5">
        <v>45675</v>
      </c>
      <c r="E60" s="1" t="s">
        <v>9</v>
      </c>
      <c r="F60" s="1" t="s">
        <v>12</v>
      </c>
      <c r="G60" s="3">
        <v>300</v>
      </c>
      <c r="H60" s="6">
        <v>4500</v>
      </c>
      <c r="I60" s="3">
        <v>1350000</v>
      </c>
      <c r="J60" s="3">
        <v>67500</v>
      </c>
    </row>
    <row r="62" spans="2:10" x14ac:dyDescent="0.3">
      <c r="B62" t="s">
        <v>14</v>
      </c>
      <c r="C62" s="1" t="s">
        <v>4</v>
      </c>
      <c r="D62" s="5" t="s">
        <v>5</v>
      </c>
      <c r="E62" s="1" t="s">
        <v>6</v>
      </c>
      <c r="F62" s="1" t="s">
        <v>7</v>
      </c>
      <c r="G62" s="3" t="s">
        <v>0</v>
      </c>
      <c r="H62" s="6" t="s">
        <v>8</v>
      </c>
      <c r="I62" s="3" t="s">
        <v>1</v>
      </c>
      <c r="J62" s="3" t="s">
        <v>2</v>
      </c>
    </row>
    <row r="63" spans="2:10" x14ac:dyDescent="0.3">
      <c r="C63" s="1">
        <v>6</v>
      </c>
      <c r="D63" s="5">
        <v>45674</v>
      </c>
      <c r="E63" s="1" t="s">
        <v>9</v>
      </c>
      <c r="F63" s="1" t="s">
        <v>14</v>
      </c>
      <c r="G63" s="3">
        <v>300</v>
      </c>
      <c r="H63" s="6">
        <v>5000</v>
      </c>
      <c r="I63" s="3">
        <v>1500000</v>
      </c>
      <c r="J63" s="3">
        <v>75000</v>
      </c>
    </row>
    <row r="64" spans="2:10" x14ac:dyDescent="0.3">
      <c r="C64" s="1">
        <v>7</v>
      </c>
      <c r="D64" s="5">
        <v>45674</v>
      </c>
      <c r="E64" s="1" t="s">
        <v>11</v>
      </c>
      <c r="F64" s="1" t="s">
        <v>14</v>
      </c>
      <c r="G64" s="3">
        <v>200</v>
      </c>
      <c r="H64" s="6">
        <v>5000</v>
      </c>
      <c r="I64" s="3">
        <v>1000000</v>
      </c>
      <c r="J64" s="3">
        <v>50000</v>
      </c>
    </row>
    <row r="65" spans="2:10" x14ac:dyDescent="0.3">
      <c r="C65" s="1">
        <v>11</v>
      </c>
      <c r="D65" s="5">
        <v>45676</v>
      </c>
      <c r="E65" s="1" t="s">
        <v>16</v>
      </c>
      <c r="F65" s="1" t="s">
        <v>14</v>
      </c>
      <c r="G65" s="3">
        <v>200</v>
      </c>
      <c r="H65" s="6">
        <v>5000</v>
      </c>
      <c r="I65" s="3">
        <v>1000000</v>
      </c>
      <c r="J65" s="3">
        <v>50000</v>
      </c>
    </row>
    <row r="66" spans="2:10" x14ac:dyDescent="0.3">
      <c r="C66" s="1">
        <v>12</v>
      </c>
      <c r="D66" s="5">
        <v>45677</v>
      </c>
      <c r="E66" s="1" t="s">
        <v>9</v>
      </c>
      <c r="F66" s="1" t="s">
        <v>17</v>
      </c>
      <c r="G66" s="3">
        <v>250</v>
      </c>
      <c r="H66" s="6">
        <v>5000</v>
      </c>
      <c r="I66" s="3">
        <v>1250000</v>
      </c>
      <c r="J66" s="3">
        <v>62500</v>
      </c>
    </row>
    <row r="68" spans="2:10" x14ac:dyDescent="0.3">
      <c r="B68" t="s">
        <v>10</v>
      </c>
      <c r="C68" s="1" t="s">
        <v>4</v>
      </c>
      <c r="D68" s="5" t="s">
        <v>5</v>
      </c>
      <c r="E68" s="1" t="s">
        <v>6</v>
      </c>
      <c r="F68" s="1" t="s">
        <v>7</v>
      </c>
      <c r="G68" s="3" t="s">
        <v>0</v>
      </c>
      <c r="H68" s="6" t="s">
        <v>8</v>
      </c>
      <c r="I68" s="3" t="s">
        <v>1</v>
      </c>
      <c r="J68" s="3" t="s">
        <v>2</v>
      </c>
    </row>
    <row r="69" spans="2:10" x14ac:dyDescent="0.3">
      <c r="C69" s="1">
        <v>1</v>
      </c>
      <c r="D69" s="5">
        <v>45672</v>
      </c>
      <c r="E69" s="1" t="s">
        <v>9</v>
      </c>
      <c r="F69" s="1" t="s">
        <v>10</v>
      </c>
      <c r="G69" s="3">
        <v>1000</v>
      </c>
      <c r="H69" s="6">
        <v>850</v>
      </c>
      <c r="I69" s="3">
        <v>850000</v>
      </c>
      <c r="J69" s="3">
        <v>42500</v>
      </c>
    </row>
    <row r="70" spans="2:10" x14ac:dyDescent="0.3">
      <c r="C70" s="1">
        <v>5</v>
      </c>
      <c r="D70" s="5">
        <v>45673</v>
      </c>
      <c r="E70" s="1" t="s">
        <v>11</v>
      </c>
      <c r="F70" s="1" t="s">
        <v>10</v>
      </c>
      <c r="G70" s="3">
        <v>1500</v>
      </c>
      <c r="H70" s="6">
        <v>850</v>
      </c>
      <c r="I70" s="3">
        <v>1275000</v>
      </c>
      <c r="J70" s="3">
        <v>63750</v>
      </c>
    </row>
    <row r="71" spans="2:10" x14ac:dyDescent="0.3">
      <c r="C71" s="1">
        <v>8</v>
      </c>
      <c r="D71" s="5">
        <v>45674</v>
      </c>
      <c r="E71" s="1" t="s">
        <v>13</v>
      </c>
      <c r="F71" s="1" t="s">
        <v>10</v>
      </c>
      <c r="G71" s="3">
        <v>5000</v>
      </c>
      <c r="H71" s="6">
        <v>850</v>
      </c>
      <c r="I71" s="3">
        <v>4250000</v>
      </c>
      <c r="J71" s="3">
        <v>212500</v>
      </c>
    </row>
    <row r="72" spans="2:10" x14ac:dyDescent="0.3">
      <c r="C72" s="1">
        <v>10</v>
      </c>
      <c r="D72" s="5">
        <v>45676</v>
      </c>
      <c r="E72" s="1" t="s">
        <v>11</v>
      </c>
      <c r="F72" s="1" t="s">
        <v>10</v>
      </c>
      <c r="G72" s="3">
        <v>3500</v>
      </c>
      <c r="H72" s="6">
        <v>850</v>
      </c>
      <c r="I72" s="3">
        <v>2975000</v>
      </c>
      <c r="J72" s="3">
        <v>148750</v>
      </c>
    </row>
    <row r="74" spans="2:10" x14ac:dyDescent="0.3">
      <c r="C74" t="s">
        <v>45</v>
      </c>
    </row>
    <row r="75" spans="2:10" x14ac:dyDescent="0.3">
      <c r="C75" s="1" t="s">
        <v>4</v>
      </c>
      <c r="D75" s="5" t="s">
        <v>5</v>
      </c>
      <c r="E75" s="1" t="s">
        <v>6</v>
      </c>
      <c r="F75" s="1" t="s">
        <v>7</v>
      </c>
      <c r="G75" s="3" t="s">
        <v>0</v>
      </c>
      <c r="H75" s="6" t="s">
        <v>8</v>
      </c>
      <c r="I75" s="3" t="s">
        <v>1</v>
      </c>
      <c r="J75" s="3" t="s">
        <v>2</v>
      </c>
    </row>
    <row r="76" spans="2:10" x14ac:dyDescent="0.3">
      <c r="C76" s="1">
        <v>8</v>
      </c>
      <c r="D76" s="5">
        <v>45674</v>
      </c>
      <c r="E76" s="1" t="s">
        <v>13</v>
      </c>
      <c r="F76" s="1" t="s">
        <v>10</v>
      </c>
      <c r="G76" s="3">
        <v>5000</v>
      </c>
      <c r="H76" s="6">
        <v>850</v>
      </c>
      <c r="I76" s="3">
        <v>4250000</v>
      </c>
      <c r="J76" s="3">
        <v>212500</v>
      </c>
    </row>
    <row r="77" spans="2:10" x14ac:dyDescent="0.3">
      <c r="C77" s="1">
        <v>10</v>
      </c>
      <c r="D77" s="5">
        <v>45676</v>
      </c>
      <c r="E77" s="1" t="s">
        <v>11</v>
      </c>
      <c r="F77" s="1" t="s">
        <v>10</v>
      </c>
      <c r="G77" s="3">
        <v>3500</v>
      </c>
      <c r="H77" s="6">
        <v>850</v>
      </c>
      <c r="I77" s="3">
        <v>2975000</v>
      </c>
      <c r="J77" s="3">
        <v>148750</v>
      </c>
    </row>
    <row r="79" spans="2:10" x14ac:dyDescent="0.3">
      <c r="C79" t="s">
        <v>46</v>
      </c>
    </row>
    <row r="80" spans="2:10" x14ac:dyDescent="0.3">
      <c r="C80" s="1" t="s">
        <v>4</v>
      </c>
      <c r="D80" s="5" t="s">
        <v>5</v>
      </c>
      <c r="E80" s="1" t="s">
        <v>6</v>
      </c>
      <c r="F80" s="1" t="s">
        <v>7</v>
      </c>
      <c r="G80" s="3" t="s">
        <v>0</v>
      </c>
      <c r="H80" s="6" t="s">
        <v>8</v>
      </c>
      <c r="I80" s="3" t="s">
        <v>1</v>
      </c>
      <c r="J80" s="3" t="s">
        <v>2</v>
      </c>
    </row>
    <row r="81" spans="3:10" x14ac:dyDescent="0.3">
      <c r="C81" s="1">
        <v>2</v>
      </c>
      <c r="D81" s="5">
        <v>45672</v>
      </c>
      <c r="E81" s="1" t="s">
        <v>11</v>
      </c>
      <c r="F81" s="1" t="s">
        <v>12</v>
      </c>
      <c r="G81" s="3">
        <v>250</v>
      </c>
      <c r="H81" s="6">
        <v>4500</v>
      </c>
      <c r="I81" s="3">
        <v>1125000</v>
      </c>
      <c r="J81" s="3">
        <v>56250</v>
      </c>
    </row>
    <row r="82" spans="3:10" x14ac:dyDescent="0.3">
      <c r="C82" s="1">
        <v>4</v>
      </c>
      <c r="D82" s="5">
        <v>45673</v>
      </c>
      <c r="E82" s="1" t="s">
        <v>9</v>
      </c>
      <c r="F82" s="1" t="s">
        <v>12</v>
      </c>
      <c r="G82" s="3">
        <v>450</v>
      </c>
      <c r="H82" s="6">
        <v>4500</v>
      </c>
      <c r="I82" s="3">
        <v>2025000</v>
      </c>
      <c r="J82" s="3">
        <v>101250</v>
      </c>
    </row>
    <row r="83" spans="3:10" x14ac:dyDescent="0.3">
      <c r="C83" s="1">
        <v>5</v>
      </c>
      <c r="D83" s="5">
        <v>45673</v>
      </c>
      <c r="E83" s="1" t="s">
        <v>11</v>
      </c>
      <c r="F83" s="1" t="s">
        <v>10</v>
      </c>
      <c r="G83" s="3">
        <v>1500</v>
      </c>
      <c r="H83" s="6">
        <v>850</v>
      </c>
      <c r="I83" s="3">
        <v>1275000</v>
      </c>
      <c r="J83" s="3">
        <v>63750</v>
      </c>
    </row>
    <row r="84" spans="3:10" x14ac:dyDescent="0.3">
      <c r="C84" s="1">
        <v>6</v>
      </c>
      <c r="D84" s="5">
        <v>45674</v>
      </c>
      <c r="E84" s="1" t="s">
        <v>9</v>
      </c>
      <c r="F84" s="1" t="s">
        <v>14</v>
      </c>
      <c r="G84" s="3">
        <v>300</v>
      </c>
      <c r="H84" s="6">
        <v>5000</v>
      </c>
      <c r="I84" s="3">
        <v>1500000</v>
      </c>
      <c r="J84" s="3">
        <v>75000</v>
      </c>
    </row>
    <row r="85" spans="3:10" x14ac:dyDescent="0.3">
      <c r="C85" s="1">
        <v>7</v>
      </c>
      <c r="D85" s="5">
        <v>45674</v>
      </c>
      <c r="E85" s="1" t="s">
        <v>11</v>
      </c>
      <c r="F85" s="1" t="s">
        <v>14</v>
      </c>
      <c r="G85" s="3">
        <v>200</v>
      </c>
      <c r="H85" s="6">
        <v>5000</v>
      </c>
      <c r="I85" s="3">
        <v>1000000</v>
      </c>
      <c r="J85" s="3">
        <v>50000</v>
      </c>
    </row>
    <row r="86" spans="3:10" x14ac:dyDescent="0.3">
      <c r="C86" s="1">
        <v>9</v>
      </c>
      <c r="D86" s="5">
        <v>45675</v>
      </c>
      <c r="E86" s="1" t="s">
        <v>9</v>
      </c>
      <c r="F86" s="1" t="s">
        <v>12</v>
      </c>
      <c r="G86" s="3">
        <v>300</v>
      </c>
      <c r="H86" s="6">
        <v>4500</v>
      </c>
      <c r="I86" s="3">
        <v>1350000</v>
      </c>
      <c r="J86" s="3">
        <v>67500</v>
      </c>
    </row>
    <row r="87" spans="3:10" x14ac:dyDescent="0.3">
      <c r="C87" s="1">
        <v>10</v>
      </c>
      <c r="D87" s="5">
        <v>45676</v>
      </c>
      <c r="E87" s="1" t="s">
        <v>11</v>
      </c>
      <c r="F87" s="1" t="s">
        <v>10</v>
      </c>
      <c r="G87" s="3">
        <v>3500</v>
      </c>
      <c r="H87" s="6">
        <v>850</v>
      </c>
      <c r="I87" s="3">
        <v>2975000</v>
      </c>
      <c r="J87" s="3">
        <v>148750</v>
      </c>
    </row>
    <row r="88" spans="3:10" x14ac:dyDescent="0.3">
      <c r="C88" s="1">
        <v>11</v>
      </c>
      <c r="D88" s="5">
        <v>45676</v>
      </c>
      <c r="E88" s="1" t="s">
        <v>16</v>
      </c>
      <c r="F88" s="1" t="s">
        <v>14</v>
      </c>
      <c r="G88" s="3">
        <v>200</v>
      </c>
      <c r="H88" s="6">
        <v>5000</v>
      </c>
      <c r="I88" s="3">
        <v>1000000</v>
      </c>
      <c r="J88" s="3">
        <v>50000</v>
      </c>
    </row>
    <row r="89" spans="3:10" x14ac:dyDescent="0.3">
      <c r="C89" s="1">
        <v>12</v>
      </c>
      <c r="D89" s="5">
        <v>45677</v>
      </c>
      <c r="E89" s="1" t="s">
        <v>9</v>
      </c>
      <c r="F89" s="1" t="s">
        <v>17</v>
      </c>
      <c r="G89" s="3">
        <v>250</v>
      </c>
      <c r="H89" s="6">
        <v>5000</v>
      </c>
      <c r="I89" s="3">
        <v>1250000</v>
      </c>
      <c r="J89" s="3">
        <v>62500</v>
      </c>
    </row>
    <row r="91" spans="3:10" x14ac:dyDescent="0.3">
      <c r="C91" t="s">
        <v>47</v>
      </c>
    </row>
    <row r="92" spans="3:10" x14ac:dyDescent="0.3">
      <c r="C92" s="1" t="s">
        <v>4</v>
      </c>
      <c r="D92" s="5" t="s">
        <v>5</v>
      </c>
      <c r="E92" s="1" t="s">
        <v>6</v>
      </c>
      <c r="F92" s="1" t="s">
        <v>7</v>
      </c>
      <c r="G92" s="3" t="s">
        <v>0</v>
      </c>
      <c r="H92" s="6" t="s">
        <v>8</v>
      </c>
      <c r="I92" s="3" t="s">
        <v>1</v>
      </c>
      <c r="J92" s="3" t="s">
        <v>2</v>
      </c>
    </row>
    <row r="93" spans="3:10" x14ac:dyDescent="0.3">
      <c r="C93" s="1">
        <v>1</v>
      </c>
      <c r="D93" s="5">
        <v>45672</v>
      </c>
      <c r="E93" s="1" t="s">
        <v>9</v>
      </c>
      <c r="F93" s="1" t="s">
        <v>10</v>
      </c>
      <c r="G93" s="3">
        <v>1000</v>
      </c>
      <c r="H93" s="6">
        <v>850</v>
      </c>
      <c r="I93" s="3">
        <v>850000</v>
      </c>
      <c r="J93" s="3">
        <v>42500</v>
      </c>
    </row>
    <row r="94" spans="3:10" x14ac:dyDescent="0.3">
      <c r="C94" s="1">
        <v>2</v>
      </c>
      <c r="D94" s="5">
        <v>45672</v>
      </c>
      <c r="E94" s="1" t="s">
        <v>11</v>
      </c>
      <c r="F94" s="1" t="s">
        <v>12</v>
      </c>
      <c r="G94" s="3">
        <v>250</v>
      </c>
      <c r="H94" s="6">
        <v>4500</v>
      </c>
      <c r="I94" s="3">
        <v>1125000</v>
      </c>
      <c r="J94" s="3">
        <v>56250</v>
      </c>
    </row>
    <row r="95" spans="3:10" x14ac:dyDescent="0.3">
      <c r="C95" s="1">
        <v>3</v>
      </c>
      <c r="D95" s="5">
        <v>45672</v>
      </c>
      <c r="E95" s="1" t="s">
        <v>13</v>
      </c>
      <c r="F95" s="1" t="s">
        <v>12</v>
      </c>
      <c r="G95" s="3">
        <v>200</v>
      </c>
      <c r="H95" s="6">
        <v>4500</v>
      </c>
      <c r="I95" s="3">
        <v>900000</v>
      </c>
      <c r="J95" s="3">
        <v>45000</v>
      </c>
    </row>
    <row r="96" spans="3:10" x14ac:dyDescent="0.3">
      <c r="C96" s="1">
        <v>5</v>
      </c>
      <c r="D96" s="5">
        <v>45673</v>
      </c>
      <c r="E96" s="1" t="s">
        <v>11</v>
      </c>
      <c r="F96" s="1" t="s">
        <v>10</v>
      </c>
      <c r="G96" s="3">
        <v>1500</v>
      </c>
      <c r="H96" s="6">
        <v>850</v>
      </c>
      <c r="I96" s="3">
        <v>1275000</v>
      </c>
      <c r="J96" s="3">
        <v>63750</v>
      </c>
    </row>
    <row r="97" spans="3:10" x14ac:dyDescent="0.3">
      <c r="C97" s="1">
        <v>6</v>
      </c>
      <c r="D97" s="5">
        <v>45674</v>
      </c>
      <c r="E97" s="1" t="s">
        <v>9</v>
      </c>
      <c r="F97" s="1" t="s">
        <v>14</v>
      </c>
      <c r="G97" s="3">
        <v>300</v>
      </c>
      <c r="H97" s="6">
        <v>5000</v>
      </c>
      <c r="I97" s="3">
        <v>1500000</v>
      </c>
      <c r="J97" s="3">
        <v>75000</v>
      </c>
    </row>
    <row r="98" spans="3:10" x14ac:dyDescent="0.3">
      <c r="C98" s="1">
        <v>7</v>
      </c>
      <c r="D98" s="5">
        <v>45674</v>
      </c>
      <c r="E98" s="1" t="s">
        <v>11</v>
      </c>
      <c r="F98" s="1" t="s">
        <v>14</v>
      </c>
      <c r="G98" s="3">
        <v>200</v>
      </c>
      <c r="H98" s="6">
        <v>5000</v>
      </c>
      <c r="I98" s="3">
        <v>1000000</v>
      </c>
      <c r="J98" s="3">
        <v>50000</v>
      </c>
    </row>
    <row r="99" spans="3:10" x14ac:dyDescent="0.3">
      <c r="C99" s="1">
        <v>9</v>
      </c>
      <c r="D99" s="5">
        <v>45675</v>
      </c>
      <c r="E99" s="1" t="s">
        <v>9</v>
      </c>
      <c r="F99" s="1" t="s">
        <v>12</v>
      </c>
      <c r="G99" s="3">
        <v>300</v>
      </c>
      <c r="H99" s="6">
        <v>4500</v>
      </c>
      <c r="I99" s="3">
        <v>1350000</v>
      </c>
      <c r="J99" s="3">
        <v>67500</v>
      </c>
    </row>
    <row r="100" spans="3:10" x14ac:dyDescent="0.3">
      <c r="C100" s="1">
        <v>11</v>
      </c>
      <c r="D100" s="5">
        <v>45676</v>
      </c>
      <c r="E100" s="1" t="s">
        <v>16</v>
      </c>
      <c r="F100" s="1" t="s">
        <v>14</v>
      </c>
      <c r="G100" s="3">
        <v>200</v>
      </c>
      <c r="H100" s="6">
        <v>5000</v>
      </c>
      <c r="I100" s="3">
        <v>1000000</v>
      </c>
      <c r="J100" s="3">
        <v>50000</v>
      </c>
    </row>
    <row r="101" spans="3:10" x14ac:dyDescent="0.3">
      <c r="C101" s="1">
        <v>12</v>
      </c>
      <c r="D101" s="5">
        <v>45677</v>
      </c>
      <c r="E101" s="1" t="s">
        <v>9</v>
      </c>
      <c r="F101" s="1" t="s">
        <v>17</v>
      </c>
      <c r="G101" s="3">
        <v>250</v>
      </c>
      <c r="H101" s="6">
        <v>5000</v>
      </c>
      <c r="I101" s="3">
        <v>1250000</v>
      </c>
      <c r="J101" s="3">
        <v>62500</v>
      </c>
    </row>
    <row r="104" spans="3:10" x14ac:dyDescent="0.3">
      <c r="C104" s="1" t="s">
        <v>4</v>
      </c>
      <c r="D104" s="5" t="s">
        <v>5</v>
      </c>
      <c r="E104" s="1" t="s">
        <v>6</v>
      </c>
      <c r="F104" s="1" t="s">
        <v>7</v>
      </c>
      <c r="G104" s="3" t="s">
        <v>0</v>
      </c>
      <c r="H104" s="6" t="s">
        <v>8</v>
      </c>
      <c r="I104" s="3" t="s">
        <v>1</v>
      </c>
      <c r="J104" s="3" t="s">
        <v>2</v>
      </c>
    </row>
    <row r="105" spans="3:10" x14ac:dyDescent="0.3">
      <c r="C105" s="1">
        <v>4</v>
      </c>
      <c r="D105" s="5">
        <v>45673</v>
      </c>
      <c r="E105" s="1" t="s">
        <v>9</v>
      </c>
      <c r="F105" s="1" t="s">
        <v>12</v>
      </c>
      <c r="G105" s="3">
        <v>450</v>
      </c>
      <c r="H105" s="6">
        <v>4500</v>
      </c>
      <c r="I105" s="3">
        <v>2025000</v>
      </c>
      <c r="J105" s="3">
        <v>101250</v>
      </c>
    </row>
    <row r="106" spans="3:10" x14ac:dyDescent="0.3">
      <c r="C106" s="1">
        <v>6</v>
      </c>
      <c r="D106" s="5">
        <v>45674</v>
      </c>
      <c r="E106" s="1" t="s">
        <v>9</v>
      </c>
      <c r="F106" s="1" t="s">
        <v>14</v>
      </c>
      <c r="G106" s="3">
        <v>300</v>
      </c>
      <c r="H106" s="6">
        <v>5000</v>
      </c>
      <c r="I106" s="3">
        <v>1500000</v>
      </c>
      <c r="J106" s="3">
        <v>75000</v>
      </c>
    </row>
    <row r="107" spans="3:10" x14ac:dyDescent="0.3">
      <c r="C107" s="1">
        <v>9</v>
      </c>
      <c r="D107" s="5">
        <v>45675</v>
      </c>
      <c r="E107" s="1" t="s">
        <v>9</v>
      </c>
      <c r="F107" s="1" t="s">
        <v>12</v>
      </c>
      <c r="G107" s="3">
        <v>300</v>
      </c>
      <c r="H107" s="6">
        <v>4500</v>
      </c>
      <c r="I107" s="3">
        <v>1350000</v>
      </c>
      <c r="J107" s="3">
        <v>67500</v>
      </c>
    </row>
    <row r="108" spans="3:10" x14ac:dyDescent="0.3">
      <c r="C108" s="1">
        <v>12</v>
      </c>
      <c r="D108" s="5">
        <v>45677</v>
      </c>
      <c r="E108" s="1" t="s">
        <v>9</v>
      </c>
      <c r="F108" s="1" t="s">
        <v>17</v>
      </c>
      <c r="G108" s="3">
        <v>250</v>
      </c>
      <c r="H108" s="6">
        <v>5000</v>
      </c>
      <c r="I108" s="3">
        <v>1250000</v>
      </c>
      <c r="J108" s="3">
        <v>62500</v>
      </c>
    </row>
    <row r="111" spans="3:10" x14ac:dyDescent="0.3">
      <c r="C111" t="s">
        <v>48</v>
      </c>
    </row>
    <row r="113" spans="3:10" x14ac:dyDescent="0.3">
      <c r="C113" s="1" t="s">
        <v>4</v>
      </c>
      <c r="D113" s="5" t="s">
        <v>5</v>
      </c>
      <c r="E113" s="1" t="s">
        <v>6</v>
      </c>
      <c r="F113" s="1" t="s">
        <v>7</v>
      </c>
      <c r="G113" s="3" t="s">
        <v>0</v>
      </c>
      <c r="H113" s="6" t="s">
        <v>8</v>
      </c>
      <c r="I113" s="3" t="s">
        <v>1</v>
      </c>
      <c r="J113" s="3" t="s">
        <v>2</v>
      </c>
    </row>
    <row r="114" spans="3:10" x14ac:dyDescent="0.3">
      <c r="C114" s="1">
        <v>1</v>
      </c>
      <c r="D114" s="5">
        <v>45672</v>
      </c>
      <c r="E114" s="1" t="s">
        <v>9</v>
      </c>
      <c r="F114" s="1" t="s">
        <v>10</v>
      </c>
      <c r="G114" s="3">
        <v>1000</v>
      </c>
      <c r="H114" s="6">
        <v>850</v>
      </c>
      <c r="I114" s="3">
        <v>850000</v>
      </c>
      <c r="J114" s="3">
        <v>42500</v>
      </c>
    </row>
    <row r="115" spans="3:10" x14ac:dyDescent="0.3">
      <c r="C115" s="1">
        <v>4</v>
      </c>
      <c r="D115" s="5">
        <v>45673</v>
      </c>
      <c r="E115" s="1" t="s">
        <v>9</v>
      </c>
      <c r="F115" s="1" t="s">
        <v>12</v>
      </c>
      <c r="G115" s="3">
        <v>450</v>
      </c>
      <c r="H115" s="6">
        <v>4500</v>
      </c>
      <c r="I115" s="3">
        <v>2025000</v>
      </c>
      <c r="J115" s="3">
        <v>101250</v>
      </c>
    </row>
    <row r="116" spans="3:10" x14ac:dyDescent="0.3">
      <c r="C116" s="1">
        <v>6</v>
      </c>
      <c r="D116" s="5">
        <v>45674</v>
      </c>
      <c r="E116" s="1" t="s">
        <v>9</v>
      </c>
      <c r="F116" s="1" t="s">
        <v>14</v>
      </c>
      <c r="G116" s="3">
        <v>300</v>
      </c>
      <c r="H116" s="6">
        <v>5000</v>
      </c>
      <c r="I116" s="3">
        <v>1500000</v>
      </c>
      <c r="J116" s="3">
        <v>75000</v>
      </c>
    </row>
    <row r="117" spans="3:10" x14ac:dyDescent="0.3">
      <c r="C117" s="1">
        <v>9</v>
      </c>
      <c r="D117" s="5">
        <v>45675</v>
      </c>
      <c r="E117" s="1" t="s">
        <v>9</v>
      </c>
      <c r="F117" s="1" t="s">
        <v>12</v>
      </c>
      <c r="G117" s="3">
        <v>300</v>
      </c>
      <c r="H117" s="6">
        <v>4500</v>
      </c>
      <c r="I117" s="3">
        <v>1350000</v>
      </c>
      <c r="J117" s="3">
        <v>67500</v>
      </c>
    </row>
    <row r="118" spans="3:10" x14ac:dyDescent="0.3">
      <c r="C118" s="1">
        <v>12</v>
      </c>
      <c r="D118" s="5">
        <v>45677</v>
      </c>
      <c r="E118" s="1" t="s">
        <v>9</v>
      </c>
      <c r="F118" s="1" t="s">
        <v>17</v>
      </c>
      <c r="G118" s="3">
        <v>250</v>
      </c>
      <c r="H118" s="6">
        <v>5000</v>
      </c>
      <c r="I118" s="3">
        <v>1250000</v>
      </c>
      <c r="J118" s="3">
        <v>62500</v>
      </c>
    </row>
    <row r="119" spans="3:10" x14ac:dyDescent="0.3">
      <c r="C119" s="1">
        <v>2</v>
      </c>
      <c r="D119" s="5">
        <v>45672</v>
      </c>
      <c r="E119" s="1" t="s">
        <v>11</v>
      </c>
      <c r="F119" s="1" t="s">
        <v>12</v>
      </c>
      <c r="G119" s="3">
        <v>250</v>
      </c>
      <c r="H119" s="6">
        <v>4500</v>
      </c>
      <c r="I119" s="3">
        <v>1125000</v>
      </c>
      <c r="J119" s="3">
        <v>56250</v>
      </c>
    </row>
    <row r="120" spans="3:10" x14ac:dyDescent="0.3">
      <c r="C120" s="1">
        <v>5</v>
      </c>
      <c r="D120" s="5">
        <v>45673</v>
      </c>
      <c r="E120" s="1" t="s">
        <v>11</v>
      </c>
      <c r="F120" s="1" t="s">
        <v>10</v>
      </c>
      <c r="G120" s="3">
        <v>1500</v>
      </c>
      <c r="H120" s="6">
        <v>850</v>
      </c>
      <c r="I120" s="3">
        <v>1275000</v>
      </c>
      <c r="J120" s="3">
        <v>63750</v>
      </c>
    </row>
    <row r="121" spans="3:10" x14ac:dyDescent="0.3">
      <c r="C121" s="1">
        <v>7</v>
      </c>
      <c r="D121" s="5">
        <v>45674</v>
      </c>
      <c r="E121" s="1" t="s">
        <v>11</v>
      </c>
      <c r="F121" s="1" t="s">
        <v>14</v>
      </c>
      <c r="G121" s="3">
        <v>200</v>
      </c>
      <c r="H121" s="6">
        <v>5000</v>
      </c>
      <c r="I121" s="3">
        <v>1000000</v>
      </c>
      <c r="J121" s="3">
        <v>50000</v>
      </c>
    </row>
    <row r="122" spans="3:10" x14ac:dyDescent="0.3">
      <c r="C122" s="1">
        <v>10</v>
      </c>
      <c r="D122" s="5">
        <v>45676</v>
      </c>
      <c r="E122" s="1" t="s">
        <v>11</v>
      </c>
      <c r="F122" s="1" t="s">
        <v>10</v>
      </c>
      <c r="G122" s="3">
        <v>3500</v>
      </c>
      <c r="H122" s="6">
        <v>850</v>
      </c>
      <c r="I122" s="3">
        <v>2975000</v>
      </c>
      <c r="J122" s="3">
        <v>148750</v>
      </c>
    </row>
    <row r="123" spans="3:10" x14ac:dyDescent="0.3">
      <c r="C123" s="1">
        <v>3</v>
      </c>
      <c r="D123" s="5">
        <v>45672</v>
      </c>
      <c r="E123" s="1" t="s">
        <v>13</v>
      </c>
      <c r="F123" s="1" t="s">
        <v>12</v>
      </c>
      <c r="G123" s="3">
        <v>200</v>
      </c>
      <c r="H123" s="6">
        <v>4500</v>
      </c>
      <c r="I123" s="3">
        <v>900000</v>
      </c>
      <c r="J123" s="3">
        <v>45000</v>
      </c>
    </row>
    <row r="124" spans="3:10" x14ac:dyDescent="0.3">
      <c r="C124" s="1">
        <v>8</v>
      </c>
      <c r="D124" s="5">
        <v>45674</v>
      </c>
      <c r="E124" s="1" t="s">
        <v>13</v>
      </c>
      <c r="F124" s="1" t="s">
        <v>10</v>
      </c>
      <c r="G124" s="3">
        <v>5000</v>
      </c>
      <c r="H124" s="6">
        <v>850</v>
      </c>
      <c r="I124" s="3">
        <v>4250000</v>
      </c>
      <c r="J124" s="3">
        <v>212500</v>
      </c>
    </row>
    <row r="125" spans="3:10" x14ac:dyDescent="0.3">
      <c r="C125" s="1">
        <v>11</v>
      </c>
      <c r="D125" s="5">
        <v>45676</v>
      </c>
      <c r="E125" s="1" t="s">
        <v>16</v>
      </c>
      <c r="F125" s="1" t="s">
        <v>14</v>
      </c>
      <c r="G125" s="3">
        <v>200</v>
      </c>
      <c r="H125" s="6">
        <v>5000</v>
      </c>
      <c r="I125" s="3">
        <v>1000000</v>
      </c>
      <c r="J125" s="3">
        <v>50000</v>
      </c>
    </row>
    <row r="128" spans="3:10" x14ac:dyDescent="0.3">
      <c r="C128" s="1" t="s">
        <v>4</v>
      </c>
      <c r="D128" s="5" t="s">
        <v>5</v>
      </c>
      <c r="E128" s="1" t="s">
        <v>6</v>
      </c>
      <c r="F128" s="1" t="s">
        <v>7</v>
      </c>
      <c r="G128" s="3" t="s">
        <v>0</v>
      </c>
      <c r="H128" s="6" t="s">
        <v>8</v>
      </c>
      <c r="I128" s="3" t="s">
        <v>1</v>
      </c>
      <c r="J128" s="3" t="s">
        <v>2</v>
      </c>
    </row>
    <row r="129" spans="3:11" x14ac:dyDescent="0.3">
      <c r="D129" s="7">
        <v>45673</v>
      </c>
      <c r="I129" t="s">
        <v>18</v>
      </c>
    </row>
    <row r="130" spans="3:11" x14ac:dyDescent="0.3">
      <c r="D130" s="7">
        <v>45674</v>
      </c>
      <c r="I130" t="s">
        <v>18</v>
      </c>
    </row>
    <row r="131" spans="3:11" x14ac:dyDescent="0.3">
      <c r="D131" s="7">
        <v>45675</v>
      </c>
      <c r="I131" t="s">
        <v>18</v>
      </c>
    </row>
    <row r="132" spans="3:11" x14ac:dyDescent="0.3">
      <c r="D132" s="7">
        <v>45676</v>
      </c>
      <c r="I132" t="s">
        <v>18</v>
      </c>
    </row>
    <row r="134" spans="3:11" x14ac:dyDescent="0.3">
      <c r="C134" s="1" t="s">
        <v>4</v>
      </c>
      <c r="D134" s="5" t="s">
        <v>5</v>
      </c>
      <c r="E134" s="1" t="s">
        <v>6</v>
      </c>
      <c r="F134" s="1" t="s">
        <v>7</v>
      </c>
      <c r="G134" s="3" t="s">
        <v>0</v>
      </c>
      <c r="H134" s="6" t="s">
        <v>8</v>
      </c>
      <c r="I134" s="3" t="s">
        <v>1</v>
      </c>
      <c r="J134" s="3" t="s">
        <v>2</v>
      </c>
    </row>
    <row r="135" spans="3:11" x14ac:dyDescent="0.3">
      <c r="C135" s="1">
        <v>4</v>
      </c>
      <c r="D135" s="5">
        <v>45673</v>
      </c>
      <c r="E135" s="1" t="s">
        <v>9</v>
      </c>
      <c r="F135" s="1" t="s">
        <v>12</v>
      </c>
      <c r="G135" s="3">
        <v>450</v>
      </c>
      <c r="H135" s="6">
        <v>4500</v>
      </c>
      <c r="I135" s="3">
        <v>2025000</v>
      </c>
      <c r="J135" s="3">
        <v>101250</v>
      </c>
    </row>
    <row r="136" spans="3:11" x14ac:dyDescent="0.3">
      <c r="C136" s="1">
        <v>8</v>
      </c>
      <c r="D136" s="5">
        <v>45674</v>
      </c>
      <c r="E136" s="1" t="s">
        <v>13</v>
      </c>
      <c r="F136" s="1" t="s">
        <v>10</v>
      </c>
      <c r="G136" s="3">
        <v>5000</v>
      </c>
      <c r="H136" s="6">
        <v>850</v>
      </c>
      <c r="I136" s="3">
        <v>4250000</v>
      </c>
      <c r="J136" s="3">
        <v>212500</v>
      </c>
    </row>
    <row r="137" spans="3:11" x14ac:dyDescent="0.3">
      <c r="C137" s="1">
        <v>10</v>
      </c>
      <c r="D137" s="5">
        <v>45676</v>
      </c>
      <c r="E137" s="1" t="s">
        <v>11</v>
      </c>
      <c r="F137" s="1" t="s">
        <v>10</v>
      </c>
      <c r="G137" s="3">
        <v>3500</v>
      </c>
      <c r="H137" s="6">
        <v>850</v>
      </c>
      <c r="I137" s="3">
        <v>2975000</v>
      </c>
      <c r="J137" s="3">
        <v>148750</v>
      </c>
    </row>
    <row r="139" spans="3:11" x14ac:dyDescent="0.3">
      <c r="C139" t="s">
        <v>49</v>
      </c>
    </row>
    <row r="140" spans="3:11" x14ac:dyDescent="0.3">
      <c r="C140" s="1" t="s">
        <v>4</v>
      </c>
      <c r="D140" s="5" t="s">
        <v>5</v>
      </c>
      <c r="E140" s="1" t="s">
        <v>6</v>
      </c>
      <c r="F140" s="1" t="s">
        <v>7</v>
      </c>
      <c r="G140" s="3" t="s">
        <v>0</v>
      </c>
      <c r="H140" s="6" t="s">
        <v>8</v>
      </c>
      <c r="I140" s="6" t="s">
        <v>1</v>
      </c>
      <c r="J140" s="3" t="s">
        <v>1</v>
      </c>
    </row>
    <row r="141" spans="3:11" x14ac:dyDescent="0.3">
      <c r="F141" t="s">
        <v>12</v>
      </c>
      <c r="I141" t="s">
        <v>19</v>
      </c>
      <c r="J141" t="s">
        <v>20</v>
      </c>
    </row>
    <row r="142" spans="3:11" x14ac:dyDescent="0.3">
      <c r="F142" t="s">
        <v>10</v>
      </c>
      <c r="I142" t="s">
        <v>19</v>
      </c>
      <c r="J142" t="s">
        <v>20</v>
      </c>
    </row>
    <row r="144" spans="3:11" x14ac:dyDescent="0.3">
      <c r="C144" s="1" t="s">
        <v>4</v>
      </c>
      <c r="D144" s="5" t="s">
        <v>5</v>
      </c>
      <c r="E144" s="1" t="s">
        <v>6</v>
      </c>
      <c r="F144" s="1" t="s">
        <v>7</v>
      </c>
      <c r="G144" s="3" t="s">
        <v>0</v>
      </c>
      <c r="H144" s="6" t="s">
        <v>8</v>
      </c>
      <c r="I144" s="3" t="s">
        <v>1</v>
      </c>
      <c r="J144" s="3" t="s">
        <v>2</v>
      </c>
      <c r="K144" s="3" t="s">
        <v>2</v>
      </c>
    </row>
    <row r="145" spans="3:10" x14ac:dyDescent="0.3">
      <c r="C145" s="1">
        <v>4</v>
      </c>
      <c r="D145" s="5">
        <v>45673</v>
      </c>
      <c r="E145" s="1" t="s">
        <v>9</v>
      </c>
      <c r="F145" s="1" t="s">
        <v>12</v>
      </c>
      <c r="G145" s="3">
        <v>450</v>
      </c>
      <c r="H145" s="6">
        <v>4500</v>
      </c>
      <c r="I145" s="3">
        <v>2025000</v>
      </c>
      <c r="J145" s="3">
        <v>101250</v>
      </c>
    </row>
    <row r="146" spans="3:10" x14ac:dyDescent="0.3">
      <c r="C146" s="1">
        <v>10</v>
      </c>
      <c r="D146" s="5">
        <v>45676</v>
      </c>
      <c r="E146" s="1" t="s">
        <v>11</v>
      </c>
      <c r="F146" s="1" t="s">
        <v>10</v>
      </c>
      <c r="G146" s="3">
        <v>3500</v>
      </c>
      <c r="H146" s="6">
        <v>850</v>
      </c>
      <c r="I146" s="3">
        <v>2975000</v>
      </c>
      <c r="J146" s="3">
        <v>148750</v>
      </c>
    </row>
    <row r="149" spans="3:10" x14ac:dyDescent="0.3">
      <c r="C149" t="s">
        <v>21</v>
      </c>
    </row>
    <row r="150" spans="3:10" x14ac:dyDescent="0.3">
      <c r="C150" t="s">
        <v>50</v>
      </c>
    </row>
    <row r="151" spans="3:10" x14ac:dyDescent="0.3">
      <c r="C151" s="1" t="s">
        <v>4</v>
      </c>
      <c r="D151" s="5" t="s">
        <v>5</v>
      </c>
      <c r="E151" s="1" t="s">
        <v>6</v>
      </c>
      <c r="F151" s="1" t="s">
        <v>7</v>
      </c>
      <c r="G151" s="3" t="s">
        <v>0</v>
      </c>
      <c r="H151" s="6" t="s">
        <v>8</v>
      </c>
      <c r="I151" s="3" t="s">
        <v>1</v>
      </c>
      <c r="J151" s="3" t="s">
        <v>2</v>
      </c>
    </row>
    <row r="152" spans="3:10" x14ac:dyDescent="0.3">
      <c r="C152" s="1">
        <v>1</v>
      </c>
      <c r="D152" s="5">
        <v>45672</v>
      </c>
      <c r="E152" s="1" t="s">
        <v>9</v>
      </c>
      <c r="F152" s="1" t="s">
        <v>10</v>
      </c>
      <c r="G152" s="3">
        <v>1000</v>
      </c>
      <c r="H152" s="6">
        <v>850</v>
      </c>
      <c r="I152" s="3">
        <v>850000</v>
      </c>
      <c r="J152" s="3">
        <v>42500</v>
      </c>
    </row>
    <row r="153" spans="3:10" x14ac:dyDescent="0.3">
      <c r="C153" s="1">
        <v>4</v>
      </c>
      <c r="D153" s="5">
        <v>45673</v>
      </c>
      <c r="E153" s="1" t="s">
        <v>9</v>
      </c>
      <c r="F153" s="1" t="s">
        <v>12</v>
      </c>
      <c r="G153" s="3">
        <v>450</v>
      </c>
      <c r="H153" s="6">
        <v>4500</v>
      </c>
      <c r="I153" s="3">
        <v>2025000</v>
      </c>
      <c r="J153" s="3">
        <v>101250</v>
      </c>
    </row>
    <row r="154" spans="3:10" x14ac:dyDescent="0.3">
      <c r="C154" s="1">
        <v>6</v>
      </c>
      <c r="D154" s="5">
        <v>45674</v>
      </c>
      <c r="E154" s="1" t="s">
        <v>9</v>
      </c>
      <c r="F154" s="1" t="s">
        <v>14</v>
      </c>
      <c r="G154" s="3">
        <v>300</v>
      </c>
      <c r="H154" s="6">
        <v>5000</v>
      </c>
      <c r="I154" s="3">
        <v>1500000</v>
      </c>
      <c r="J154" s="3">
        <v>75000</v>
      </c>
    </row>
    <row r="155" spans="3:10" x14ac:dyDescent="0.3">
      <c r="C155" s="1">
        <v>9</v>
      </c>
      <c r="D155" s="5">
        <v>45675</v>
      </c>
      <c r="E155" s="1" t="s">
        <v>9</v>
      </c>
      <c r="F155" s="1" t="s">
        <v>12</v>
      </c>
      <c r="G155" s="3">
        <v>300</v>
      </c>
      <c r="H155" s="6">
        <v>4500</v>
      </c>
      <c r="I155" s="3">
        <v>1350000</v>
      </c>
      <c r="J155" s="3">
        <v>67500</v>
      </c>
    </row>
    <row r="156" spans="3:10" x14ac:dyDescent="0.3">
      <c r="C156" s="1">
        <v>12</v>
      </c>
      <c r="D156" s="5">
        <v>45677</v>
      </c>
      <c r="E156" s="1" t="s">
        <v>9</v>
      </c>
      <c r="F156" s="1" t="s">
        <v>17</v>
      </c>
      <c r="G156" s="3">
        <v>250</v>
      </c>
      <c r="H156" s="6">
        <v>5000</v>
      </c>
      <c r="I156" s="3">
        <v>1250000</v>
      </c>
      <c r="J156" s="3">
        <v>62500</v>
      </c>
    </row>
    <row r="157" spans="3:10" x14ac:dyDescent="0.3">
      <c r="C157" s="1">
        <v>2</v>
      </c>
      <c r="D157" s="5">
        <v>45672</v>
      </c>
      <c r="E157" s="1" t="s">
        <v>11</v>
      </c>
      <c r="F157" s="1" t="s">
        <v>12</v>
      </c>
      <c r="G157" s="3">
        <v>250</v>
      </c>
      <c r="H157" s="6">
        <v>4500</v>
      </c>
      <c r="I157" s="3">
        <v>1125000</v>
      </c>
      <c r="J157" s="3">
        <v>56250</v>
      </c>
    </row>
    <row r="158" spans="3:10" x14ac:dyDescent="0.3">
      <c r="C158" s="1">
        <v>5</v>
      </c>
      <c r="D158" s="5">
        <v>45673</v>
      </c>
      <c r="E158" s="1" t="s">
        <v>11</v>
      </c>
      <c r="F158" s="1" t="s">
        <v>10</v>
      </c>
      <c r="G158" s="3">
        <v>1500</v>
      </c>
      <c r="H158" s="6">
        <v>850</v>
      </c>
      <c r="I158" s="3">
        <v>1275000</v>
      </c>
      <c r="J158" s="3">
        <v>63750</v>
      </c>
    </row>
    <row r="159" spans="3:10" x14ac:dyDescent="0.3">
      <c r="C159" s="1">
        <v>7</v>
      </c>
      <c r="D159" s="5">
        <v>45674</v>
      </c>
      <c r="E159" s="1" t="s">
        <v>11</v>
      </c>
      <c r="F159" s="1" t="s">
        <v>14</v>
      </c>
      <c r="G159" s="3">
        <v>200</v>
      </c>
      <c r="H159" s="6">
        <v>5000</v>
      </c>
      <c r="I159" s="3">
        <v>1000000</v>
      </c>
      <c r="J159" s="3">
        <v>50000</v>
      </c>
    </row>
    <row r="160" spans="3:10" x14ac:dyDescent="0.3">
      <c r="C160" s="1">
        <v>10</v>
      </c>
      <c r="D160" s="5">
        <v>45676</v>
      </c>
      <c r="E160" s="1" t="s">
        <v>11</v>
      </c>
      <c r="F160" s="1" t="s">
        <v>10</v>
      </c>
      <c r="G160" s="3">
        <v>3500</v>
      </c>
      <c r="H160" s="6">
        <v>850</v>
      </c>
      <c r="I160" s="3">
        <v>2975000</v>
      </c>
      <c r="J160" s="3">
        <v>148750</v>
      </c>
    </row>
    <row r="161" spans="3:10" x14ac:dyDescent="0.3">
      <c r="C161" s="1">
        <v>3</v>
      </c>
      <c r="D161" s="5">
        <v>45672</v>
      </c>
      <c r="E161" s="1" t="s">
        <v>13</v>
      </c>
      <c r="F161" s="1" t="s">
        <v>12</v>
      </c>
      <c r="G161" s="3">
        <v>200</v>
      </c>
      <c r="H161" s="6">
        <v>4500</v>
      </c>
      <c r="I161" s="3">
        <v>900000</v>
      </c>
      <c r="J161" s="3">
        <v>45000</v>
      </c>
    </row>
    <row r="162" spans="3:10" x14ac:dyDescent="0.3">
      <c r="C162" s="1">
        <v>8</v>
      </c>
      <c r="D162" s="5">
        <v>45674</v>
      </c>
      <c r="E162" s="1" t="s">
        <v>13</v>
      </c>
      <c r="F162" s="1" t="s">
        <v>10</v>
      </c>
      <c r="G162" s="3">
        <v>5000</v>
      </c>
      <c r="H162" s="6">
        <v>850</v>
      </c>
      <c r="I162" s="3">
        <v>4250000</v>
      </c>
      <c r="J162" s="3">
        <v>212500</v>
      </c>
    </row>
    <row r="163" spans="3:10" x14ac:dyDescent="0.3">
      <c r="C163" s="1">
        <v>11</v>
      </c>
      <c r="D163" s="5">
        <v>45676</v>
      </c>
      <c r="E163" s="1" t="s">
        <v>16</v>
      </c>
      <c r="F163" s="1" t="s">
        <v>14</v>
      </c>
      <c r="G163" s="3">
        <v>200</v>
      </c>
      <c r="H163" s="6">
        <v>5000</v>
      </c>
      <c r="I163" s="3">
        <v>1000000</v>
      </c>
      <c r="J163" s="3">
        <v>50000</v>
      </c>
    </row>
    <row r="166" spans="3:10" x14ac:dyDescent="0.3">
      <c r="C166" s="1" t="s">
        <v>4</v>
      </c>
      <c r="D166" s="5" t="s">
        <v>5</v>
      </c>
      <c r="E166" s="1" t="s">
        <v>6</v>
      </c>
      <c r="F166" s="1" t="s">
        <v>7</v>
      </c>
      <c r="G166" s="3" t="s">
        <v>0</v>
      </c>
      <c r="H166" s="6" t="s">
        <v>8</v>
      </c>
      <c r="I166" s="3" t="s">
        <v>1</v>
      </c>
      <c r="J166" s="3" t="s">
        <v>2</v>
      </c>
    </row>
    <row r="167" spans="3:10" outlineLevel="2" x14ac:dyDescent="0.3">
      <c r="C167" s="1">
        <v>1</v>
      </c>
      <c r="D167" s="5">
        <v>45672</v>
      </c>
      <c r="E167" s="1" t="s">
        <v>9</v>
      </c>
      <c r="F167" s="1" t="s">
        <v>10</v>
      </c>
      <c r="G167" s="3">
        <v>1000</v>
      </c>
      <c r="H167" s="6">
        <v>850</v>
      </c>
      <c r="I167" s="3">
        <v>850000</v>
      </c>
      <c r="J167" s="3">
        <v>42500</v>
      </c>
    </row>
    <row r="168" spans="3:10" outlineLevel="2" x14ac:dyDescent="0.3">
      <c r="C168" s="1">
        <v>4</v>
      </c>
      <c r="D168" s="5">
        <v>45673</v>
      </c>
      <c r="E168" s="1" t="s">
        <v>9</v>
      </c>
      <c r="F168" s="1" t="s">
        <v>12</v>
      </c>
      <c r="G168" s="3">
        <v>450</v>
      </c>
      <c r="H168" s="6">
        <v>4500</v>
      </c>
      <c r="I168" s="3">
        <v>2025000</v>
      </c>
      <c r="J168" s="3">
        <v>101250</v>
      </c>
    </row>
    <row r="169" spans="3:10" outlineLevel="2" x14ac:dyDescent="0.3">
      <c r="C169" s="1">
        <v>6</v>
      </c>
      <c r="D169" s="5">
        <v>45674</v>
      </c>
      <c r="E169" s="1" t="s">
        <v>9</v>
      </c>
      <c r="F169" s="1" t="s">
        <v>14</v>
      </c>
      <c r="G169" s="3">
        <v>300</v>
      </c>
      <c r="H169" s="6">
        <v>5000</v>
      </c>
      <c r="I169" s="3">
        <v>1500000</v>
      </c>
      <c r="J169" s="3">
        <v>75000</v>
      </c>
    </row>
    <row r="170" spans="3:10" outlineLevel="2" x14ac:dyDescent="0.3">
      <c r="C170" s="1">
        <v>9</v>
      </c>
      <c r="D170" s="5">
        <v>45675</v>
      </c>
      <c r="E170" s="1" t="s">
        <v>9</v>
      </c>
      <c r="F170" s="1" t="s">
        <v>12</v>
      </c>
      <c r="G170" s="3">
        <v>300</v>
      </c>
      <c r="H170" s="6">
        <v>4500</v>
      </c>
      <c r="I170" s="3">
        <v>1350000</v>
      </c>
      <c r="J170" s="3">
        <v>67500</v>
      </c>
    </row>
    <row r="171" spans="3:10" outlineLevel="2" x14ac:dyDescent="0.3">
      <c r="C171" s="1">
        <v>12</v>
      </c>
      <c r="D171" s="5">
        <v>45677</v>
      </c>
      <c r="E171" s="1" t="s">
        <v>9</v>
      </c>
      <c r="F171" s="1" t="s">
        <v>17</v>
      </c>
      <c r="G171" s="3">
        <v>250</v>
      </c>
      <c r="H171" s="6">
        <v>5000</v>
      </c>
      <c r="I171" s="3">
        <v>1250000</v>
      </c>
      <c r="J171" s="3">
        <v>62500</v>
      </c>
    </row>
    <row r="172" spans="3:10" outlineLevel="1" x14ac:dyDescent="0.3">
      <c r="C172" s="1"/>
      <c r="D172" s="5"/>
      <c r="E172" s="8" t="s">
        <v>22</v>
      </c>
      <c r="F172" s="1"/>
      <c r="G172" s="3"/>
      <c r="H172" s="6"/>
      <c r="I172" s="3">
        <f>SUBTOTAL(9,I167:I171)</f>
        <v>6975000</v>
      </c>
      <c r="J172" s="3">
        <f>SUBTOTAL(9,J167:J171)</f>
        <v>348750</v>
      </c>
    </row>
    <row r="173" spans="3:10" outlineLevel="2" x14ac:dyDescent="0.3">
      <c r="C173" s="1">
        <v>2</v>
      </c>
      <c r="D173" s="5">
        <v>45672</v>
      </c>
      <c r="E173" s="1" t="s">
        <v>11</v>
      </c>
      <c r="F173" s="1" t="s">
        <v>12</v>
      </c>
      <c r="G173" s="3">
        <v>250</v>
      </c>
      <c r="H173" s="6">
        <v>4500</v>
      </c>
      <c r="I173" s="3">
        <v>1125000</v>
      </c>
      <c r="J173" s="3">
        <v>56250</v>
      </c>
    </row>
    <row r="174" spans="3:10" outlineLevel="2" x14ac:dyDescent="0.3">
      <c r="C174" s="1">
        <v>5</v>
      </c>
      <c r="D174" s="5">
        <v>45673</v>
      </c>
      <c r="E174" s="1" t="s">
        <v>11</v>
      </c>
      <c r="F174" s="1" t="s">
        <v>10</v>
      </c>
      <c r="G174" s="3">
        <v>1500</v>
      </c>
      <c r="H174" s="6">
        <v>850</v>
      </c>
      <c r="I174" s="3">
        <v>1275000</v>
      </c>
      <c r="J174" s="3">
        <v>63750</v>
      </c>
    </row>
    <row r="175" spans="3:10" outlineLevel="2" x14ac:dyDescent="0.3">
      <c r="C175" s="1">
        <v>7</v>
      </c>
      <c r="D175" s="5">
        <v>45674</v>
      </c>
      <c r="E175" s="1" t="s">
        <v>11</v>
      </c>
      <c r="F175" s="1" t="s">
        <v>14</v>
      </c>
      <c r="G175" s="3">
        <v>200</v>
      </c>
      <c r="H175" s="6">
        <v>5000</v>
      </c>
      <c r="I175" s="3">
        <v>1000000</v>
      </c>
      <c r="J175" s="3">
        <v>50000</v>
      </c>
    </row>
    <row r="176" spans="3:10" outlineLevel="2" x14ac:dyDescent="0.3">
      <c r="C176" s="1">
        <v>10</v>
      </c>
      <c r="D176" s="5">
        <v>45676</v>
      </c>
      <c r="E176" s="1" t="s">
        <v>11</v>
      </c>
      <c r="F176" s="1" t="s">
        <v>10</v>
      </c>
      <c r="G176" s="3">
        <v>3500</v>
      </c>
      <c r="H176" s="6">
        <v>850</v>
      </c>
      <c r="I176" s="3">
        <v>2975000</v>
      </c>
      <c r="J176" s="3">
        <v>148750</v>
      </c>
    </row>
    <row r="177" spans="3:10" outlineLevel="1" x14ac:dyDescent="0.3">
      <c r="C177" s="1"/>
      <c r="D177" s="5"/>
      <c r="E177" s="8" t="s">
        <v>23</v>
      </c>
      <c r="F177" s="1"/>
      <c r="G177" s="3"/>
      <c r="H177" s="6"/>
      <c r="I177" s="3">
        <f>SUBTOTAL(9,I173:I176)</f>
        <v>6375000</v>
      </c>
      <c r="J177" s="3">
        <f>SUBTOTAL(9,J173:J176)</f>
        <v>318750</v>
      </c>
    </row>
    <row r="178" spans="3:10" outlineLevel="2" x14ac:dyDescent="0.3">
      <c r="C178" s="1">
        <v>3</v>
      </c>
      <c r="D178" s="5">
        <v>45672</v>
      </c>
      <c r="E178" s="1" t="s">
        <v>13</v>
      </c>
      <c r="F178" s="1" t="s">
        <v>12</v>
      </c>
      <c r="G178" s="3">
        <v>200</v>
      </c>
      <c r="H178" s="6">
        <v>4500</v>
      </c>
      <c r="I178" s="3">
        <v>900000</v>
      </c>
      <c r="J178" s="3">
        <v>45000</v>
      </c>
    </row>
    <row r="179" spans="3:10" outlineLevel="2" x14ac:dyDescent="0.3">
      <c r="C179" s="1">
        <v>8</v>
      </c>
      <c r="D179" s="5">
        <v>45674</v>
      </c>
      <c r="E179" s="1" t="s">
        <v>13</v>
      </c>
      <c r="F179" s="1" t="s">
        <v>10</v>
      </c>
      <c r="G179" s="3">
        <v>5000</v>
      </c>
      <c r="H179" s="6">
        <v>850</v>
      </c>
      <c r="I179" s="3">
        <v>4250000</v>
      </c>
      <c r="J179" s="3">
        <v>212500</v>
      </c>
    </row>
    <row r="180" spans="3:10" outlineLevel="2" x14ac:dyDescent="0.3">
      <c r="C180" s="1">
        <v>11</v>
      </c>
      <c r="D180" s="5">
        <v>45676</v>
      </c>
      <c r="E180" s="1" t="s">
        <v>16</v>
      </c>
      <c r="F180" s="1" t="s">
        <v>14</v>
      </c>
      <c r="G180" s="3">
        <v>200</v>
      </c>
      <c r="H180" s="6">
        <v>5000</v>
      </c>
      <c r="I180" s="3">
        <v>1000000</v>
      </c>
      <c r="J180" s="3">
        <v>50000</v>
      </c>
    </row>
    <row r="181" spans="3:10" outlineLevel="1" x14ac:dyDescent="0.3">
      <c r="D181" s="12"/>
      <c r="E181" s="14" t="s">
        <v>24</v>
      </c>
      <c r="G181" s="2"/>
      <c r="H181" s="13"/>
      <c r="I181" s="2">
        <f>SUBTOTAL(9,I178:I180)</f>
        <v>6150000</v>
      </c>
      <c r="J181" s="2">
        <f>SUBTOTAL(9,J178:J180)</f>
        <v>307500</v>
      </c>
    </row>
    <row r="182" spans="3:10" x14ac:dyDescent="0.3">
      <c r="D182" s="12"/>
      <c r="E182" s="14" t="s">
        <v>3</v>
      </c>
      <c r="G182" s="2"/>
      <c r="H182" s="13"/>
      <c r="I182" s="2">
        <f>SUBTOTAL(9,I167:I180)</f>
        <v>19500000</v>
      </c>
      <c r="J182" s="2">
        <f>SUBTOTAL(9,J167:J180)</f>
        <v>975000</v>
      </c>
    </row>
    <row r="185" spans="3:10" x14ac:dyDescent="0.3">
      <c r="C185" t="s">
        <v>51</v>
      </c>
    </row>
    <row r="187" spans="3:10" x14ac:dyDescent="0.3">
      <c r="C187" s="1" t="s">
        <v>4</v>
      </c>
      <c r="D187" s="5" t="s">
        <v>5</v>
      </c>
      <c r="E187" s="1" t="s">
        <v>6</v>
      </c>
      <c r="F187" s="1" t="s">
        <v>7</v>
      </c>
      <c r="G187" s="3" t="s">
        <v>0</v>
      </c>
      <c r="H187" s="6" t="s">
        <v>8</v>
      </c>
      <c r="I187" s="3" t="s">
        <v>1</v>
      </c>
      <c r="J187" s="3" t="s">
        <v>2</v>
      </c>
    </row>
    <row r="188" spans="3:10" outlineLevel="2" x14ac:dyDescent="0.3">
      <c r="C188" s="1">
        <v>1</v>
      </c>
      <c r="D188" s="5">
        <v>45672</v>
      </c>
      <c r="E188" s="1" t="s">
        <v>9</v>
      </c>
      <c r="F188" s="1" t="s">
        <v>10</v>
      </c>
      <c r="G188" s="3">
        <v>1000</v>
      </c>
      <c r="H188" s="6">
        <v>850</v>
      </c>
      <c r="I188" s="3">
        <v>850000</v>
      </c>
      <c r="J188" s="3">
        <v>42500</v>
      </c>
    </row>
    <row r="189" spans="3:10" outlineLevel="2" x14ac:dyDescent="0.3">
      <c r="C189" s="1">
        <v>2</v>
      </c>
      <c r="D189" s="5">
        <v>45672</v>
      </c>
      <c r="E189" s="1" t="s">
        <v>11</v>
      </c>
      <c r="F189" s="1" t="s">
        <v>12</v>
      </c>
      <c r="G189" s="3">
        <v>250</v>
      </c>
      <c r="H189" s="6">
        <v>4500</v>
      </c>
      <c r="I189" s="3">
        <v>1125000</v>
      </c>
      <c r="J189" s="3">
        <v>56250</v>
      </c>
    </row>
    <row r="190" spans="3:10" outlineLevel="2" x14ac:dyDescent="0.3">
      <c r="C190" s="1">
        <v>3</v>
      </c>
      <c r="D190" s="5">
        <v>45672</v>
      </c>
      <c r="E190" s="1" t="s">
        <v>13</v>
      </c>
      <c r="F190" s="1" t="s">
        <v>12</v>
      </c>
      <c r="G190" s="3">
        <v>200</v>
      </c>
      <c r="H190" s="6">
        <v>4500</v>
      </c>
      <c r="I190" s="3">
        <v>900000</v>
      </c>
      <c r="J190" s="3">
        <v>45000</v>
      </c>
    </row>
    <row r="191" spans="3:10" outlineLevel="1" x14ac:dyDescent="0.3">
      <c r="C191" s="1"/>
      <c r="D191" s="9" t="s">
        <v>25</v>
      </c>
      <c r="E191" s="1"/>
      <c r="F191" s="1"/>
      <c r="G191" s="3"/>
      <c r="H191" s="6"/>
      <c r="I191" s="3">
        <f>SUBTOTAL(9,I188:I190)</f>
        <v>2875000</v>
      </c>
      <c r="J191" s="3">
        <f>SUBTOTAL(9,J188:J190)</f>
        <v>143750</v>
      </c>
    </row>
    <row r="192" spans="3:10" outlineLevel="2" x14ac:dyDescent="0.3">
      <c r="C192" s="1">
        <v>4</v>
      </c>
      <c r="D192" s="5">
        <v>45673</v>
      </c>
      <c r="E192" s="1" t="s">
        <v>9</v>
      </c>
      <c r="F192" s="1" t="s">
        <v>12</v>
      </c>
      <c r="G192" s="3">
        <v>450</v>
      </c>
      <c r="H192" s="6">
        <v>4500</v>
      </c>
      <c r="I192" s="3">
        <v>2025000</v>
      </c>
      <c r="J192" s="3">
        <v>101250</v>
      </c>
    </row>
    <row r="193" spans="3:10" outlineLevel="2" x14ac:dyDescent="0.3">
      <c r="C193" s="1">
        <v>5</v>
      </c>
      <c r="D193" s="5">
        <v>45673</v>
      </c>
      <c r="E193" s="1" t="s">
        <v>11</v>
      </c>
      <c r="F193" s="1" t="s">
        <v>10</v>
      </c>
      <c r="G193" s="3">
        <v>1500</v>
      </c>
      <c r="H193" s="6">
        <v>850</v>
      </c>
      <c r="I193" s="3">
        <v>1275000</v>
      </c>
      <c r="J193" s="3">
        <v>63750</v>
      </c>
    </row>
    <row r="194" spans="3:10" outlineLevel="1" x14ac:dyDescent="0.3">
      <c r="C194" s="1"/>
      <c r="D194" s="9" t="s">
        <v>26</v>
      </c>
      <c r="E194" s="1"/>
      <c r="F194" s="1"/>
      <c r="G194" s="3"/>
      <c r="H194" s="6"/>
      <c r="I194" s="3">
        <f>SUBTOTAL(9,I192:I193)</f>
        <v>3300000</v>
      </c>
      <c r="J194" s="3">
        <f>SUBTOTAL(9,J192:J193)</f>
        <v>165000</v>
      </c>
    </row>
    <row r="195" spans="3:10" outlineLevel="2" x14ac:dyDescent="0.3">
      <c r="C195" s="1">
        <v>6</v>
      </c>
      <c r="D195" s="5">
        <v>45674</v>
      </c>
      <c r="E195" s="1" t="s">
        <v>9</v>
      </c>
      <c r="F195" s="1" t="s">
        <v>14</v>
      </c>
      <c r="G195" s="3">
        <v>300</v>
      </c>
      <c r="H195" s="6">
        <v>5000</v>
      </c>
      <c r="I195" s="3">
        <v>1500000</v>
      </c>
      <c r="J195" s="3">
        <v>75000</v>
      </c>
    </row>
    <row r="196" spans="3:10" outlineLevel="2" x14ac:dyDescent="0.3">
      <c r="C196" s="1">
        <v>7</v>
      </c>
      <c r="D196" s="5">
        <v>45674</v>
      </c>
      <c r="E196" s="1" t="s">
        <v>11</v>
      </c>
      <c r="F196" s="1" t="s">
        <v>14</v>
      </c>
      <c r="G196" s="3">
        <v>200</v>
      </c>
      <c r="H196" s="6">
        <v>5000</v>
      </c>
      <c r="I196" s="3">
        <v>1000000</v>
      </c>
      <c r="J196" s="3">
        <v>50000</v>
      </c>
    </row>
    <row r="197" spans="3:10" outlineLevel="2" x14ac:dyDescent="0.3">
      <c r="C197" s="1">
        <v>8</v>
      </c>
      <c r="D197" s="5">
        <v>45674</v>
      </c>
      <c r="E197" s="1" t="s">
        <v>13</v>
      </c>
      <c r="F197" s="1" t="s">
        <v>10</v>
      </c>
      <c r="G197" s="3">
        <v>5000</v>
      </c>
      <c r="H197" s="6">
        <v>850</v>
      </c>
      <c r="I197" s="3">
        <v>4250000</v>
      </c>
      <c r="J197" s="3">
        <v>212500</v>
      </c>
    </row>
    <row r="198" spans="3:10" outlineLevel="1" x14ac:dyDescent="0.3">
      <c r="C198" s="1"/>
      <c r="D198" s="9" t="s">
        <v>27</v>
      </c>
      <c r="E198" s="1"/>
      <c r="F198" s="1"/>
      <c r="G198" s="3"/>
      <c r="H198" s="6"/>
      <c r="I198" s="3">
        <f>SUBTOTAL(9,I195:I197)</f>
        <v>6750000</v>
      </c>
      <c r="J198" s="3">
        <f>SUBTOTAL(9,J195:J197)</f>
        <v>337500</v>
      </c>
    </row>
    <row r="199" spans="3:10" outlineLevel="2" x14ac:dyDescent="0.3">
      <c r="C199" s="1">
        <v>9</v>
      </c>
      <c r="D199" s="5">
        <v>45675</v>
      </c>
      <c r="E199" s="1" t="s">
        <v>9</v>
      </c>
      <c r="F199" s="1" t="s">
        <v>12</v>
      </c>
      <c r="G199" s="3">
        <v>300</v>
      </c>
      <c r="H199" s="6">
        <v>4500</v>
      </c>
      <c r="I199" s="3">
        <v>1350000</v>
      </c>
      <c r="J199" s="3">
        <v>67500</v>
      </c>
    </row>
    <row r="200" spans="3:10" outlineLevel="1" x14ac:dyDescent="0.3">
      <c r="C200" s="1"/>
      <c r="D200" s="9" t="s">
        <v>28</v>
      </c>
      <c r="E200" s="1"/>
      <c r="F200" s="1"/>
      <c r="G200" s="3"/>
      <c r="H200" s="6"/>
      <c r="I200" s="3">
        <f>SUBTOTAL(9,I199:I199)</f>
        <v>1350000</v>
      </c>
      <c r="J200" s="3">
        <f>SUBTOTAL(9,J199:J199)</f>
        <v>67500</v>
      </c>
    </row>
    <row r="201" spans="3:10" outlineLevel="2" x14ac:dyDescent="0.3">
      <c r="C201" s="1">
        <v>10</v>
      </c>
      <c r="D201" s="5">
        <v>45676</v>
      </c>
      <c r="E201" s="1" t="s">
        <v>11</v>
      </c>
      <c r="F201" s="1" t="s">
        <v>10</v>
      </c>
      <c r="G201" s="3">
        <v>3500</v>
      </c>
      <c r="H201" s="6">
        <v>850</v>
      </c>
      <c r="I201" s="3">
        <v>2975000</v>
      </c>
      <c r="J201" s="3">
        <v>148750</v>
      </c>
    </row>
    <row r="202" spans="3:10" outlineLevel="2" x14ac:dyDescent="0.3">
      <c r="C202" s="1">
        <v>11</v>
      </c>
      <c r="D202" s="5">
        <v>45676</v>
      </c>
      <c r="E202" s="1" t="s">
        <v>16</v>
      </c>
      <c r="F202" s="1" t="s">
        <v>14</v>
      </c>
      <c r="G202" s="3">
        <v>200</v>
      </c>
      <c r="H202" s="6">
        <v>5000</v>
      </c>
      <c r="I202" s="3">
        <v>1000000</v>
      </c>
      <c r="J202" s="3">
        <v>50000</v>
      </c>
    </row>
    <row r="203" spans="3:10" outlineLevel="1" x14ac:dyDescent="0.3">
      <c r="C203" s="1"/>
      <c r="D203" s="9" t="s">
        <v>29</v>
      </c>
      <c r="E203" s="1"/>
      <c r="F203" s="1"/>
      <c r="G203" s="3"/>
      <c r="H203" s="6"/>
      <c r="I203" s="3">
        <f>SUBTOTAL(9,I201:I202)</f>
        <v>3975000</v>
      </c>
      <c r="J203" s="3">
        <f>SUBTOTAL(9,J201:J202)</f>
        <v>198750</v>
      </c>
    </row>
    <row r="204" spans="3:10" outlineLevel="2" x14ac:dyDescent="0.3">
      <c r="C204" s="1">
        <v>12</v>
      </c>
      <c r="D204" s="5">
        <v>45677</v>
      </c>
      <c r="E204" s="1" t="s">
        <v>9</v>
      </c>
      <c r="F204" s="1" t="s">
        <v>17</v>
      </c>
      <c r="G204" s="3">
        <v>250</v>
      </c>
      <c r="H204" s="6">
        <v>5000</v>
      </c>
      <c r="I204" s="3">
        <v>1250000</v>
      </c>
      <c r="J204" s="3">
        <v>62500</v>
      </c>
    </row>
    <row r="205" spans="3:10" outlineLevel="1" x14ac:dyDescent="0.3">
      <c r="D205" s="15" t="s">
        <v>30</v>
      </c>
      <c r="G205" s="2"/>
      <c r="H205" s="13"/>
      <c r="I205" s="2">
        <f>SUBTOTAL(9,I204:I204)</f>
        <v>1250000</v>
      </c>
      <c r="J205" s="2">
        <f>SUBTOTAL(9,J204:J204)</f>
        <v>62500</v>
      </c>
    </row>
    <row r="206" spans="3:10" x14ac:dyDescent="0.3">
      <c r="D206" s="15" t="s">
        <v>3</v>
      </c>
      <c r="G206" s="2"/>
      <c r="H206" s="13"/>
      <c r="I206" s="2">
        <f>SUBTOTAL(9,I188:I204)</f>
        <v>19500000</v>
      </c>
      <c r="J206" s="2">
        <f>SUBTOTAL(9,J188:J204)</f>
        <v>975000</v>
      </c>
    </row>
    <row r="212" spans="3:10" outlineLevel="2" x14ac:dyDescent="0.3"/>
    <row r="213" spans="3:10" outlineLevel="2" x14ac:dyDescent="0.3"/>
    <row r="214" spans="3:10" outlineLevel="2" x14ac:dyDescent="0.3">
      <c r="C214" t="s">
        <v>55</v>
      </c>
    </row>
    <row r="215" spans="3:10" outlineLevel="2" x14ac:dyDescent="0.3"/>
    <row r="216" spans="3:10" outlineLevel="1" x14ac:dyDescent="0.3"/>
    <row r="217" spans="3:10" outlineLevel="2" x14ac:dyDescent="0.3">
      <c r="C217" s="1" t="s">
        <v>4</v>
      </c>
      <c r="D217" s="5" t="s">
        <v>5</v>
      </c>
      <c r="E217" s="1" t="s">
        <v>6</v>
      </c>
      <c r="F217" s="1" t="s">
        <v>7</v>
      </c>
      <c r="G217" s="3" t="s">
        <v>0</v>
      </c>
      <c r="H217" s="6" t="s">
        <v>8</v>
      </c>
      <c r="I217" s="3" t="s">
        <v>1</v>
      </c>
      <c r="J217" s="3" t="s">
        <v>2</v>
      </c>
    </row>
    <row r="218" spans="3:10" outlineLevel="2" x14ac:dyDescent="0.3">
      <c r="C218" s="1">
        <v>2</v>
      </c>
      <c r="D218" s="5">
        <v>45672</v>
      </c>
      <c r="E218" s="1" t="s">
        <v>11</v>
      </c>
      <c r="F218" s="1" t="s">
        <v>12</v>
      </c>
      <c r="G218" s="3">
        <v>250</v>
      </c>
      <c r="H218" s="6">
        <v>4500</v>
      </c>
      <c r="I218" s="3">
        <v>1125000</v>
      </c>
      <c r="J218" s="3">
        <v>56250</v>
      </c>
    </row>
    <row r="219" spans="3:10" outlineLevel="2" x14ac:dyDescent="0.3">
      <c r="C219" s="1">
        <v>3</v>
      </c>
      <c r="D219" s="5">
        <v>45672</v>
      </c>
      <c r="E219" s="1" t="s">
        <v>13</v>
      </c>
      <c r="F219" s="1" t="s">
        <v>12</v>
      </c>
      <c r="G219" s="3">
        <v>200</v>
      </c>
      <c r="H219" s="6">
        <v>4500</v>
      </c>
      <c r="I219" s="3">
        <v>900000</v>
      </c>
      <c r="J219" s="3">
        <v>45000</v>
      </c>
    </row>
    <row r="220" spans="3:10" outlineLevel="2" x14ac:dyDescent="0.3">
      <c r="C220" s="1">
        <v>4</v>
      </c>
      <c r="D220" s="5">
        <v>45673</v>
      </c>
      <c r="E220" s="1" t="s">
        <v>9</v>
      </c>
      <c r="F220" s="1" t="s">
        <v>12</v>
      </c>
      <c r="G220" s="3">
        <v>450</v>
      </c>
      <c r="H220" s="6">
        <v>4500</v>
      </c>
      <c r="I220" s="3">
        <v>2025000</v>
      </c>
      <c r="J220" s="3">
        <v>101250</v>
      </c>
    </row>
    <row r="221" spans="3:10" outlineLevel="1" x14ac:dyDescent="0.3">
      <c r="C221" s="1">
        <v>9</v>
      </c>
      <c r="D221" s="5">
        <v>45675</v>
      </c>
      <c r="E221" s="1" t="s">
        <v>9</v>
      </c>
      <c r="F221" s="1" t="s">
        <v>12</v>
      </c>
      <c r="G221" s="3">
        <v>300</v>
      </c>
      <c r="H221" s="6">
        <v>4500</v>
      </c>
      <c r="I221" s="3">
        <v>1350000</v>
      </c>
      <c r="J221" s="3">
        <v>67500</v>
      </c>
    </row>
    <row r="222" spans="3:10" outlineLevel="2" x14ac:dyDescent="0.3">
      <c r="C222" s="1"/>
      <c r="D222" s="5"/>
      <c r="E222" s="1"/>
      <c r="F222" s="8" t="s">
        <v>52</v>
      </c>
      <c r="G222" s="3"/>
      <c r="H222" s="6"/>
      <c r="I222" s="3">
        <f>SUBTOTAL(1,I218:I221)</f>
        <v>1350000</v>
      </c>
      <c r="J222" s="3"/>
    </row>
    <row r="223" spans="3:10" outlineLevel="2" x14ac:dyDescent="0.3">
      <c r="C223" s="1">
        <v>6</v>
      </c>
      <c r="D223" s="5">
        <v>45674</v>
      </c>
      <c r="E223" s="1" t="s">
        <v>9</v>
      </c>
      <c r="F223" s="1" t="s">
        <v>14</v>
      </c>
      <c r="G223" s="3">
        <v>300</v>
      </c>
      <c r="H223" s="6">
        <v>5000</v>
      </c>
      <c r="I223" s="3">
        <v>1500000</v>
      </c>
      <c r="J223" s="3">
        <v>75000</v>
      </c>
    </row>
    <row r="224" spans="3:10" outlineLevel="2" x14ac:dyDescent="0.3">
      <c r="C224" s="1">
        <v>7</v>
      </c>
      <c r="D224" s="5">
        <v>45674</v>
      </c>
      <c r="E224" s="1" t="s">
        <v>11</v>
      </c>
      <c r="F224" s="1" t="s">
        <v>14</v>
      </c>
      <c r="G224" s="3">
        <v>200</v>
      </c>
      <c r="H224" s="6">
        <v>5000</v>
      </c>
      <c r="I224" s="3">
        <v>1000000</v>
      </c>
      <c r="J224" s="3">
        <v>50000</v>
      </c>
    </row>
    <row r="225" spans="3:10" outlineLevel="2" x14ac:dyDescent="0.3">
      <c r="C225" s="1">
        <v>11</v>
      </c>
      <c r="D225" s="5">
        <v>45676</v>
      </c>
      <c r="E225" s="1" t="s">
        <v>13</v>
      </c>
      <c r="F225" s="1" t="s">
        <v>14</v>
      </c>
      <c r="G225" s="3">
        <v>200</v>
      </c>
      <c r="H225" s="6">
        <v>5000</v>
      </c>
      <c r="I225" s="3">
        <v>1000000</v>
      </c>
      <c r="J225" s="3">
        <v>50000</v>
      </c>
    </row>
    <row r="226" spans="3:10" outlineLevel="1" x14ac:dyDescent="0.3">
      <c r="C226" s="1">
        <v>12</v>
      </c>
      <c r="D226" s="5">
        <v>45677</v>
      </c>
      <c r="E226" s="1" t="s">
        <v>9</v>
      </c>
      <c r="F226" s="1" t="s">
        <v>14</v>
      </c>
      <c r="G226" s="3">
        <v>250</v>
      </c>
      <c r="H226" s="6">
        <v>5000</v>
      </c>
      <c r="I226" s="3">
        <v>1250000</v>
      </c>
      <c r="J226" s="3">
        <v>62500</v>
      </c>
    </row>
    <row r="227" spans="3:10" x14ac:dyDescent="0.3">
      <c r="C227" s="1"/>
      <c r="D227" s="5"/>
      <c r="E227" s="1"/>
      <c r="F227" s="8" t="s">
        <v>53</v>
      </c>
      <c r="G227" s="3"/>
      <c r="H227" s="6"/>
      <c r="I227" s="3">
        <f>SUBTOTAL(1,I223:I226)</f>
        <v>1187500</v>
      </c>
      <c r="J227" s="3"/>
    </row>
    <row r="228" spans="3:10" outlineLevel="1" x14ac:dyDescent="0.3">
      <c r="C228" s="1">
        <v>1</v>
      </c>
      <c r="D228" s="5">
        <v>45672</v>
      </c>
      <c r="E228" s="1" t="s">
        <v>9</v>
      </c>
      <c r="F228" s="1" t="s">
        <v>10</v>
      </c>
      <c r="G228" s="3">
        <v>1000</v>
      </c>
      <c r="H228" s="6">
        <v>850</v>
      </c>
      <c r="I228" s="3">
        <v>850000</v>
      </c>
      <c r="J228" s="3">
        <v>42500</v>
      </c>
    </row>
    <row r="229" spans="3:10" outlineLevel="2" x14ac:dyDescent="0.3">
      <c r="C229" s="1">
        <v>5</v>
      </c>
      <c r="D229" s="5">
        <v>45673</v>
      </c>
      <c r="E229" s="1" t="s">
        <v>11</v>
      </c>
      <c r="F229" s="1" t="s">
        <v>10</v>
      </c>
      <c r="G229" s="3">
        <v>1500</v>
      </c>
      <c r="H229" s="6">
        <v>850</v>
      </c>
      <c r="I229" s="3">
        <v>1275000</v>
      </c>
      <c r="J229" s="3">
        <v>63750</v>
      </c>
    </row>
    <row r="230" spans="3:10" outlineLevel="1" x14ac:dyDescent="0.3">
      <c r="C230" s="1">
        <v>8</v>
      </c>
      <c r="D230" s="5">
        <v>45674</v>
      </c>
      <c r="E230" s="1" t="s">
        <v>13</v>
      </c>
      <c r="F230" s="1" t="s">
        <v>10</v>
      </c>
      <c r="G230" s="3">
        <v>5000</v>
      </c>
      <c r="H230" s="6">
        <v>850</v>
      </c>
      <c r="I230" s="3">
        <v>4250000</v>
      </c>
      <c r="J230" s="3">
        <v>212500</v>
      </c>
    </row>
    <row r="231" spans="3:10" outlineLevel="2" x14ac:dyDescent="0.3">
      <c r="C231" s="1">
        <v>10</v>
      </c>
      <c r="D231" s="5">
        <v>45676</v>
      </c>
      <c r="E231" s="1" t="s">
        <v>11</v>
      </c>
      <c r="F231" s="1" t="s">
        <v>10</v>
      </c>
      <c r="G231" s="3">
        <v>3500</v>
      </c>
      <c r="H231" s="6">
        <v>850</v>
      </c>
      <c r="I231" s="3">
        <v>2975000</v>
      </c>
      <c r="J231" s="3">
        <v>148750</v>
      </c>
    </row>
    <row r="232" spans="3:10" outlineLevel="1" x14ac:dyDescent="0.3">
      <c r="D232" s="12"/>
      <c r="F232" s="14" t="s">
        <v>54</v>
      </c>
      <c r="G232" s="2"/>
      <c r="H232" s="13"/>
      <c r="I232" s="2">
        <f>SUBTOTAL(1,I228:I231)</f>
        <v>2337500</v>
      </c>
      <c r="J232" s="2"/>
    </row>
    <row r="233" spans="3:10" outlineLevel="2" x14ac:dyDescent="0.3">
      <c r="D233" s="12"/>
      <c r="F233" s="14" t="s">
        <v>41</v>
      </c>
      <c r="G233" s="2"/>
      <c r="H233" s="13"/>
      <c r="I233" s="2">
        <f>SUBTOTAL(1,I218:I231)</f>
        <v>1625000</v>
      </c>
      <c r="J233" s="2"/>
    </row>
    <row r="234" spans="3:10" outlineLevel="1" x14ac:dyDescent="0.3">
      <c r="D234" s="12"/>
      <c r="G234" s="2"/>
      <c r="H234" s="13"/>
      <c r="I234" s="2"/>
      <c r="J234" s="2"/>
    </row>
    <row r="235" spans="3:10" outlineLevel="2" x14ac:dyDescent="0.3">
      <c r="D235" s="12"/>
      <c r="G235" s="2"/>
      <c r="H235" s="13"/>
      <c r="I235" s="2"/>
      <c r="J235" s="2"/>
    </row>
    <row r="236" spans="3:10" outlineLevel="1" x14ac:dyDescent="0.3">
      <c r="D236" s="12"/>
      <c r="G236" s="2"/>
      <c r="H236" s="13"/>
      <c r="I236" s="2"/>
      <c r="J236" s="2"/>
    </row>
    <row r="237" spans="3:10" outlineLevel="2" x14ac:dyDescent="0.3">
      <c r="D237" s="12"/>
      <c r="G237" s="2"/>
      <c r="H237" s="13"/>
      <c r="I237" s="2"/>
      <c r="J237" s="2"/>
    </row>
    <row r="238" spans="3:10" outlineLevel="1" x14ac:dyDescent="0.3">
      <c r="D238" s="12"/>
      <c r="G238" s="2"/>
      <c r="H238" s="13"/>
      <c r="I238" s="2"/>
      <c r="J238" s="2"/>
    </row>
    <row r="239" spans="3:10" x14ac:dyDescent="0.3">
      <c r="D239" s="12"/>
      <c r="G239" s="2"/>
      <c r="H239" s="13"/>
      <c r="I239" s="2"/>
      <c r="J239" s="2"/>
    </row>
    <row r="240" spans="3:10" x14ac:dyDescent="0.3">
      <c r="D240" s="12"/>
      <c r="G240" s="2"/>
      <c r="H240" s="13"/>
      <c r="I240" s="2"/>
      <c r="J240" s="2"/>
    </row>
    <row r="243" spans="3:4" x14ac:dyDescent="0.3">
      <c r="C243" t="s">
        <v>33</v>
      </c>
    </row>
    <row r="245" spans="3:4" x14ac:dyDescent="0.3">
      <c r="C245" t="s">
        <v>42</v>
      </c>
    </row>
    <row r="249" spans="3:4" x14ac:dyDescent="0.3">
      <c r="C249" s="11" t="s">
        <v>31</v>
      </c>
      <c r="D249" t="s">
        <v>34</v>
      </c>
    </row>
    <row r="250" spans="3:4" x14ac:dyDescent="0.3">
      <c r="C250" s="4" t="s">
        <v>12</v>
      </c>
      <c r="D250" s="2">
        <v>5400000</v>
      </c>
    </row>
    <row r="251" spans="3:4" x14ac:dyDescent="0.3">
      <c r="C251" s="10" t="s">
        <v>9</v>
      </c>
      <c r="D251" s="2">
        <v>3375000</v>
      </c>
    </row>
    <row r="252" spans="3:4" x14ac:dyDescent="0.3">
      <c r="C252" s="10" t="s">
        <v>11</v>
      </c>
      <c r="D252" s="2">
        <v>1125000</v>
      </c>
    </row>
    <row r="253" spans="3:4" x14ac:dyDescent="0.3">
      <c r="C253" s="10" t="s">
        <v>13</v>
      </c>
      <c r="D253" s="2">
        <v>900000</v>
      </c>
    </row>
    <row r="254" spans="3:4" x14ac:dyDescent="0.3">
      <c r="C254" s="4" t="s">
        <v>14</v>
      </c>
      <c r="D254" s="2">
        <v>4750000</v>
      </c>
    </row>
    <row r="255" spans="3:4" x14ac:dyDescent="0.3">
      <c r="C255" s="10" t="s">
        <v>9</v>
      </c>
      <c r="D255" s="2">
        <v>2750000</v>
      </c>
    </row>
    <row r="256" spans="3:4" x14ac:dyDescent="0.3">
      <c r="C256" s="10" t="s">
        <v>11</v>
      </c>
      <c r="D256" s="2">
        <v>1000000</v>
      </c>
    </row>
    <row r="257" spans="3:5" x14ac:dyDescent="0.3">
      <c r="C257" s="10" t="s">
        <v>13</v>
      </c>
      <c r="D257" s="2">
        <v>1000000</v>
      </c>
    </row>
    <row r="258" spans="3:5" x14ac:dyDescent="0.3">
      <c r="C258" s="4" t="s">
        <v>10</v>
      </c>
      <c r="D258" s="2">
        <v>9350000</v>
      </c>
    </row>
    <row r="259" spans="3:5" x14ac:dyDescent="0.3">
      <c r="C259" s="10" t="s">
        <v>9</v>
      </c>
      <c r="D259" s="2">
        <v>850000</v>
      </c>
    </row>
    <row r="260" spans="3:5" x14ac:dyDescent="0.3">
      <c r="C260" s="10" t="s">
        <v>11</v>
      </c>
      <c r="D260" s="2">
        <v>4250000</v>
      </c>
    </row>
    <row r="261" spans="3:5" x14ac:dyDescent="0.3">
      <c r="C261" s="10" t="s">
        <v>13</v>
      </c>
      <c r="D261" s="2">
        <v>4250000</v>
      </c>
    </row>
    <row r="262" spans="3:5" x14ac:dyDescent="0.3">
      <c r="C262" s="4" t="s">
        <v>3</v>
      </c>
      <c r="D262" s="2">
        <v>19500000</v>
      </c>
    </row>
    <row r="268" spans="3:5" x14ac:dyDescent="0.3">
      <c r="C268" t="s">
        <v>35</v>
      </c>
    </row>
    <row r="271" spans="3:5" x14ac:dyDescent="0.3">
      <c r="C271" s="11" t="s">
        <v>31</v>
      </c>
      <c r="D271" s="11" t="s">
        <v>36</v>
      </c>
      <c r="E271" t="s">
        <v>37</v>
      </c>
    </row>
    <row r="272" spans="3:5" x14ac:dyDescent="0.3">
      <c r="C272" s="4" t="s">
        <v>12</v>
      </c>
      <c r="D272" s="2">
        <v>270000</v>
      </c>
      <c r="E272" s="2">
        <v>67500</v>
      </c>
    </row>
    <row r="273" spans="3:5" x14ac:dyDescent="0.3">
      <c r="C273" s="10" t="s">
        <v>9</v>
      </c>
      <c r="D273" s="2">
        <v>168750</v>
      </c>
      <c r="E273" s="2">
        <v>84375</v>
      </c>
    </row>
    <row r="274" spans="3:5" x14ac:dyDescent="0.3">
      <c r="C274" s="10" t="s">
        <v>11</v>
      </c>
      <c r="D274" s="2">
        <v>56250</v>
      </c>
      <c r="E274" s="2">
        <v>56250</v>
      </c>
    </row>
    <row r="275" spans="3:5" x14ac:dyDescent="0.3">
      <c r="C275" s="10" t="s">
        <v>13</v>
      </c>
      <c r="D275" s="2">
        <v>45000</v>
      </c>
      <c r="E275" s="2">
        <v>45000</v>
      </c>
    </row>
    <row r="276" spans="3:5" x14ac:dyDescent="0.3">
      <c r="C276" s="4" t="s">
        <v>14</v>
      </c>
      <c r="D276" s="2">
        <v>237500</v>
      </c>
      <c r="E276" s="2">
        <v>59375</v>
      </c>
    </row>
    <row r="277" spans="3:5" x14ac:dyDescent="0.3">
      <c r="C277" s="10" t="s">
        <v>9</v>
      </c>
      <c r="D277" s="2">
        <v>137500</v>
      </c>
      <c r="E277" s="2">
        <v>68750</v>
      </c>
    </row>
    <row r="278" spans="3:5" x14ac:dyDescent="0.3">
      <c r="C278" s="10" t="s">
        <v>11</v>
      </c>
      <c r="D278" s="2">
        <v>50000</v>
      </c>
      <c r="E278" s="2">
        <v>50000</v>
      </c>
    </row>
    <row r="279" spans="3:5" x14ac:dyDescent="0.3">
      <c r="C279" s="10" t="s">
        <v>13</v>
      </c>
      <c r="D279" s="2">
        <v>50000</v>
      </c>
      <c r="E279" s="2">
        <v>50000</v>
      </c>
    </row>
    <row r="280" spans="3:5" x14ac:dyDescent="0.3">
      <c r="C280" s="4" t="s">
        <v>10</v>
      </c>
      <c r="D280" s="2">
        <v>467500</v>
      </c>
      <c r="E280" s="2">
        <v>116875</v>
      </c>
    </row>
    <row r="281" spans="3:5" x14ac:dyDescent="0.3">
      <c r="C281" s="10" t="s">
        <v>9</v>
      </c>
      <c r="D281" s="2">
        <v>42500</v>
      </c>
      <c r="E281" s="2">
        <v>42500</v>
      </c>
    </row>
    <row r="282" spans="3:5" x14ac:dyDescent="0.3">
      <c r="C282" s="10" t="s">
        <v>11</v>
      </c>
      <c r="D282" s="2">
        <v>212500</v>
      </c>
      <c r="E282" s="2">
        <v>106250</v>
      </c>
    </row>
    <row r="283" spans="3:5" x14ac:dyDescent="0.3">
      <c r="C283" s="10" t="s">
        <v>13</v>
      </c>
      <c r="D283" s="2">
        <v>212500</v>
      </c>
      <c r="E283" s="2">
        <v>212500</v>
      </c>
    </row>
    <row r="284" spans="3:5" x14ac:dyDescent="0.3">
      <c r="C284" s="4" t="s">
        <v>3</v>
      </c>
      <c r="D284" s="2">
        <v>975000</v>
      </c>
      <c r="E284" s="2">
        <v>81250</v>
      </c>
    </row>
    <row r="288" spans="3:5" x14ac:dyDescent="0.3">
      <c r="C288" t="s">
        <v>38</v>
      </c>
    </row>
    <row r="291" spans="3:5" x14ac:dyDescent="0.3">
      <c r="C291" s="11" t="s">
        <v>31</v>
      </c>
      <c r="D291" s="11" t="s">
        <v>32</v>
      </c>
      <c r="E291" t="s">
        <v>39</v>
      </c>
    </row>
    <row r="292" spans="3:5" x14ac:dyDescent="0.3">
      <c r="C292" s="4" t="s">
        <v>12</v>
      </c>
      <c r="D292" s="2">
        <v>1350000</v>
      </c>
      <c r="E292" s="2">
        <v>2025000</v>
      </c>
    </row>
    <row r="293" spans="3:5" x14ac:dyDescent="0.3">
      <c r="C293" s="10" t="s">
        <v>9</v>
      </c>
      <c r="D293" s="2">
        <v>1687500</v>
      </c>
      <c r="E293" s="2">
        <v>2025000</v>
      </c>
    </row>
    <row r="294" spans="3:5" x14ac:dyDescent="0.3">
      <c r="C294" s="10" t="s">
        <v>11</v>
      </c>
      <c r="D294" s="2">
        <v>1125000</v>
      </c>
      <c r="E294" s="2">
        <v>1125000</v>
      </c>
    </row>
    <row r="295" spans="3:5" x14ac:dyDescent="0.3">
      <c r="C295" s="10" t="s">
        <v>13</v>
      </c>
      <c r="D295" s="2">
        <v>900000</v>
      </c>
      <c r="E295" s="2">
        <v>900000</v>
      </c>
    </row>
    <row r="296" spans="3:5" x14ac:dyDescent="0.3">
      <c r="C296" s="4" t="s">
        <v>14</v>
      </c>
      <c r="D296" s="2">
        <v>1187500</v>
      </c>
      <c r="E296" s="2">
        <v>1500000</v>
      </c>
    </row>
    <row r="297" spans="3:5" x14ac:dyDescent="0.3">
      <c r="C297" s="10" t="s">
        <v>9</v>
      </c>
      <c r="D297" s="2">
        <v>1375000</v>
      </c>
      <c r="E297" s="2">
        <v>1500000</v>
      </c>
    </row>
    <row r="298" spans="3:5" x14ac:dyDescent="0.3">
      <c r="C298" s="10" t="s">
        <v>11</v>
      </c>
      <c r="D298" s="2">
        <v>1000000</v>
      </c>
      <c r="E298" s="2">
        <v>1000000</v>
      </c>
    </row>
    <row r="299" spans="3:5" x14ac:dyDescent="0.3">
      <c r="C299" s="10" t="s">
        <v>16</v>
      </c>
      <c r="D299" s="2">
        <v>1000000</v>
      </c>
      <c r="E299" s="2">
        <v>1000000</v>
      </c>
    </row>
    <row r="300" spans="3:5" x14ac:dyDescent="0.3">
      <c r="C300" s="4" t="s">
        <v>10</v>
      </c>
      <c r="D300" s="2">
        <v>2337500</v>
      </c>
      <c r="E300" s="2">
        <v>4250000</v>
      </c>
    </row>
    <row r="301" spans="3:5" x14ac:dyDescent="0.3">
      <c r="C301" s="10" t="s">
        <v>9</v>
      </c>
      <c r="D301" s="2">
        <v>850000</v>
      </c>
      <c r="E301" s="2">
        <v>850000</v>
      </c>
    </row>
    <row r="302" spans="3:5" x14ac:dyDescent="0.3">
      <c r="C302" s="10" t="s">
        <v>11</v>
      </c>
      <c r="D302" s="2">
        <v>2125000</v>
      </c>
      <c r="E302" s="2">
        <v>2975000</v>
      </c>
    </row>
    <row r="303" spans="3:5" x14ac:dyDescent="0.3">
      <c r="C303" s="10" t="s">
        <v>13</v>
      </c>
      <c r="D303" s="2">
        <v>4250000</v>
      </c>
      <c r="E303" s="2">
        <v>4250000</v>
      </c>
    </row>
    <row r="304" spans="3:5" x14ac:dyDescent="0.3">
      <c r="C304" s="4" t="s">
        <v>3</v>
      </c>
      <c r="D304" s="2">
        <v>1625000</v>
      </c>
      <c r="E304" s="2">
        <v>4250000</v>
      </c>
    </row>
  </sheetData>
  <sortState xmlns:xlrd2="http://schemas.microsoft.com/office/spreadsheetml/2017/richdata2" ref="C5:J16">
    <sortCondition ref="C5:C16"/>
  </sortState>
  <pageMargins left="0.7" right="0.7" top="0.75" bottom="0.75" header="0.3" footer="0.3"/>
  <pageSetup orientation="portrait" r:id="rId4"/>
  <rowBreaks count="20" manualBreakCount="20">
    <brk id="172" max="16383" man="1"/>
    <brk id="177" max="16383" man="1"/>
    <brk id="182" max="16383" man="1"/>
    <brk id="191" max="16383" man="1"/>
    <brk id="194" max="16383" man="1"/>
    <brk id="198" max="16383" man="1"/>
    <brk id="200" max="16383" man="1"/>
    <brk id="203" max="16383" man="1"/>
    <brk id="206" max="16383" man="1"/>
    <brk id="213" max="16383" man="1"/>
    <brk id="216" max="16383" man="1"/>
    <brk id="219" max="16383" man="1"/>
    <brk id="222" max="16383" man="1"/>
    <brk id="224" max="16383" man="1"/>
    <brk id="228" max="16383" man="1"/>
    <brk id="230" max="16383" man="1"/>
    <brk id="232" max="16383" man="1"/>
    <brk id="234" max="16383" man="1"/>
    <brk id="236" max="16383" man="1"/>
    <brk id="239" max="16383" man="1"/>
  </rowBrea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4CADD-D04E-4075-AAFE-ECB776942089}">
  <dimension ref="B3:U31"/>
  <sheetViews>
    <sheetView tabSelected="1" topLeftCell="F1" workbookViewId="0">
      <selection activeCell="G7" sqref="G7"/>
    </sheetView>
  </sheetViews>
  <sheetFormatPr defaultRowHeight="14.4" x14ac:dyDescent="0.3"/>
  <cols>
    <col min="5" max="5" width="13.33203125" customWidth="1"/>
    <col min="12" max="12" width="14.5546875" customWidth="1"/>
    <col min="13" max="13" width="12.33203125" customWidth="1"/>
    <col min="14" max="14" width="11.5546875" customWidth="1"/>
    <col min="20" max="20" width="12.6640625" customWidth="1"/>
    <col min="21" max="21" width="14.21875" customWidth="1"/>
  </cols>
  <sheetData>
    <row r="3" spans="2:21" x14ac:dyDescent="0.3">
      <c r="B3" t="s">
        <v>56</v>
      </c>
      <c r="J3" t="s">
        <v>57</v>
      </c>
      <c r="S3" t="s">
        <v>58</v>
      </c>
    </row>
    <row r="5" spans="2:21" x14ac:dyDescent="0.3">
      <c r="B5" s="1" t="s">
        <v>59</v>
      </c>
      <c r="C5" s="1" t="s">
        <v>60</v>
      </c>
      <c r="D5" s="3" t="s">
        <v>61</v>
      </c>
      <c r="E5" s="3" t="s">
        <v>62</v>
      </c>
      <c r="F5" s="1" t="s">
        <v>63</v>
      </c>
      <c r="G5" s="1" t="s">
        <v>64</v>
      </c>
      <c r="J5" s="16" t="s">
        <v>5</v>
      </c>
      <c r="K5" s="1" t="s">
        <v>65</v>
      </c>
      <c r="L5" s="1" t="s">
        <v>7</v>
      </c>
      <c r="M5" s="17" t="s">
        <v>0</v>
      </c>
      <c r="N5" s="1" t="s">
        <v>63</v>
      </c>
      <c r="O5" s="1" t="s">
        <v>66</v>
      </c>
      <c r="P5" s="1" t="s">
        <v>67</v>
      </c>
      <c r="S5" s="1" t="s">
        <v>7</v>
      </c>
      <c r="T5" s="3" t="s">
        <v>68</v>
      </c>
      <c r="U5" s="1" t="s">
        <v>69</v>
      </c>
    </row>
    <row r="6" spans="2:21" x14ac:dyDescent="0.3">
      <c r="B6" s="1" t="s">
        <v>70</v>
      </c>
      <c r="C6" s="1" t="s">
        <v>71</v>
      </c>
      <c r="D6" s="3">
        <v>1700</v>
      </c>
      <c r="E6" s="3">
        <v>1310000</v>
      </c>
      <c r="F6" s="1">
        <v>770</v>
      </c>
      <c r="G6" s="1">
        <v>840</v>
      </c>
      <c r="J6" s="16">
        <v>37654</v>
      </c>
      <c r="K6" s="1" t="s">
        <v>72</v>
      </c>
      <c r="L6" s="1" t="str">
        <f>VLOOKUP(MID(K6,2,1),$B$6:$C$11, 2,0)</f>
        <v>Dưa hấu</v>
      </c>
      <c r="M6" s="17">
        <v>2000</v>
      </c>
      <c r="N6" s="1">
        <f>IF(LEFT(K6,1)="N", VLOOKUP(L6, $C$6:$G$11, 4, 0), "")</f>
        <v>770</v>
      </c>
      <c r="O6" s="1" t="str">
        <f>IF(LEFT(K6,1)="X", VLOOKUP(L6, $C$6:$G$11, 5,0), "")</f>
        <v/>
      </c>
      <c r="P6" s="1">
        <f>IF(LEFT(K6,1)="N", M6*N6, M6*O6)</f>
        <v>1540000</v>
      </c>
      <c r="S6" s="1" t="s">
        <v>71</v>
      </c>
      <c r="T6" s="3">
        <f>SUMIFS($M$6:$M$18, $L$6:$L$18,S6,$K$6:$K$18,"N*")</f>
        <v>3900</v>
      </c>
      <c r="U6" s="1">
        <f>SUMIFS($P$6:$P$18,$L$6:$L$18, S6, $K$6:$K$18, "N*")</f>
        <v>3003000</v>
      </c>
    </row>
    <row r="7" spans="2:21" x14ac:dyDescent="0.3">
      <c r="B7" s="1" t="s">
        <v>73</v>
      </c>
      <c r="C7" s="1" t="s">
        <v>74</v>
      </c>
      <c r="D7" s="3">
        <v>2400</v>
      </c>
      <c r="E7" s="3">
        <v>1810000</v>
      </c>
      <c r="F7" s="1">
        <v>750</v>
      </c>
      <c r="G7" s="1">
        <v>850</v>
      </c>
      <c r="J7" s="16">
        <v>37655</v>
      </c>
      <c r="K7" s="1" t="s">
        <v>75</v>
      </c>
      <c r="L7" s="1" t="str">
        <f t="shared" ref="L7:L18" si="0">VLOOKUP(MID(K7,2,1),$B$6:$C$11, 2,0)</f>
        <v>Cam</v>
      </c>
      <c r="M7" s="17">
        <v>2500</v>
      </c>
      <c r="N7" s="1" t="str">
        <f t="shared" ref="N7:N18" si="1">IF(LEFT(K7,1)="N", VLOOKUP(L7, $C$6:$G$11, 4, 0), "")</f>
        <v/>
      </c>
      <c r="O7" s="1">
        <f t="shared" ref="O7:O18" si="2">IF(LEFT(K7,1)="X", VLOOKUP(L7, $C$6:$G$11, 5,0), "")</f>
        <v>850</v>
      </c>
      <c r="P7" s="1">
        <f t="shared" ref="P7:P18" si="3">IF(LEFT(K7,1)="N", M7*N7, M7*O7)</f>
        <v>2125000</v>
      </c>
      <c r="S7" s="1" t="s">
        <v>74</v>
      </c>
      <c r="T7" s="3">
        <f t="shared" ref="T7:T11" si="4">SUMIFS($M$6:$M$18, $L$6:$L$18,S7,$K$6:$K$18,"N*")</f>
        <v>1800</v>
      </c>
      <c r="U7" s="1">
        <f t="shared" ref="U7:U11" si="5">SUMIFS($P$6:$P$18,$L$6:$L$18, S7, $K$6:$K$18, "N*")</f>
        <v>1350000</v>
      </c>
    </row>
    <row r="8" spans="2:21" x14ac:dyDescent="0.3">
      <c r="B8" s="1" t="s">
        <v>76</v>
      </c>
      <c r="C8" s="1" t="s">
        <v>77</v>
      </c>
      <c r="D8" s="3">
        <v>1800</v>
      </c>
      <c r="E8" s="3">
        <v>1402000</v>
      </c>
      <c r="F8" s="1">
        <v>760</v>
      </c>
      <c r="G8" s="1">
        <v>820</v>
      </c>
      <c r="J8" s="16">
        <v>37656</v>
      </c>
      <c r="K8" s="1" t="s">
        <v>78</v>
      </c>
      <c r="L8" s="1" t="str">
        <f t="shared" si="0"/>
        <v>Hồng</v>
      </c>
      <c r="M8" s="17">
        <v>2400</v>
      </c>
      <c r="N8" s="1">
        <f t="shared" si="1"/>
        <v>770</v>
      </c>
      <c r="O8" s="1" t="str">
        <f t="shared" si="2"/>
        <v/>
      </c>
      <c r="P8" s="1">
        <f t="shared" si="3"/>
        <v>1848000</v>
      </c>
      <c r="S8" s="1" t="s">
        <v>77</v>
      </c>
      <c r="T8" s="3">
        <f>SUMIFS($M$6:$M$18, $L$6:$L$18,S8,$K$6:$K$18,"N*")</f>
        <v>5100</v>
      </c>
      <c r="U8" s="1">
        <f t="shared" si="5"/>
        <v>3876000</v>
      </c>
    </row>
    <row r="9" spans="2:21" x14ac:dyDescent="0.3">
      <c r="B9" s="1" t="s">
        <v>79</v>
      </c>
      <c r="C9" s="1" t="s">
        <v>80</v>
      </c>
      <c r="D9" s="3">
        <v>1800</v>
      </c>
      <c r="E9" s="3">
        <v>1404000</v>
      </c>
      <c r="F9" s="1">
        <v>770</v>
      </c>
      <c r="G9" s="1">
        <v>880</v>
      </c>
      <c r="J9" s="16">
        <v>37657</v>
      </c>
      <c r="K9" s="1" t="s">
        <v>81</v>
      </c>
      <c r="L9" s="1" t="str">
        <f t="shared" si="0"/>
        <v>Dưa hấu</v>
      </c>
      <c r="M9" s="17">
        <v>1900</v>
      </c>
      <c r="N9" s="1">
        <f t="shared" si="1"/>
        <v>770</v>
      </c>
      <c r="O9" s="1" t="str">
        <f t="shared" si="2"/>
        <v/>
      </c>
      <c r="P9" s="1">
        <f t="shared" si="3"/>
        <v>1463000</v>
      </c>
      <c r="S9" s="1" t="s">
        <v>80</v>
      </c>
      <c r="T9" s="3">
        <f t="shared" si="4"/>
        <v>2400</v>
      </c>
      <c r="U9" s="1">
        <f t="shared" si="5"/>
        <v>1848000</v>
      </c>
    </row>
    <row r="10" spans="2:21" x14ac:dyDescent="0.3">
      <c r="B10" s="1" t="s">
        <v>82</v>
      </c>
      <c r="C10" s="1" t="s">
        <v>83</v>
      </c>
      <c r="D10" s="3">
        <v>3200</v>
      </c>
      <c r="E10" s="3">
        <v>2534000</v>
      </c>
      <c r="F10" s="1">
        <v>750</v>
      </c>
      <c r="G10" s="1">
        <v>800</v>
      </c>
      <c r="J10" s="16">
        <v>37658</v>
      </c>
      <c r="K10" s="1" t="s">
        <v>84</v>
      </c>
      <c r="L10" s="1" t="str">
        <f t="shared" si="0"/>
        <v>Bưởi</v>
      </c>
      <c r="M10" s="17">
        <v>2200</v>
      </c>
      <c r="N10" s="1" t="str">
        <f t="shared" si="1"/>
        <v/>
      </c>
      <c r="O10" s="1">
        <f t="shared" si="2"/>
        <v>820</v>
      </c>
      <c r="P10" s="1">
        <f t="shared" si="3"/>
        <v>1804000</v>
      </c>
      <c r="S10" s="1" t="s">
        <v>83</v>
      </c>
      <c r="T10" s="3">
        <f t="shared" si="4"/>
        <v>1800</v>
      </c>
      <c r="U10" s="1">
        <f>SUMIFS($P$6:$P$18,$L$6:$L$18, S10, $K$6:$K$18, "N*")</f>
        <v>1350000</v>
      </c>
    </row>
    <row r="11" spans="2:21" x14ac:dyDescent="0.3">
      <c r="B11" s="1" t="s">
        <v>85</v>
      </c>
      <c r="C11" s="1" t="s">
        <v>86</v>
      </c>
      <c r="D11" s="3">
        <v>5200</v>
      </c>
      <c r="E11" s="3">
        <v>4102000</v>
      </c>
      <c r="F11" s="1">
        <v>720</v>
      </c>
      <c r="G11" s="1">
        <v>820</v>
      </c>
      <c r="J11" s="16">
        <v>37659</v>
      </c>
      <c r="K11" s="1" t="s">
        <v>87</v>
      </c>
      <c r="L11" s="1" t="str">
        <f t="shared" si="0"/>
        <v>Chanh</v>
      </c>
      <c r="M11" s="17">
        <v>2000</v>
      </c>
      <c r="N11" s="1" t="str">
        <f t="shared" si="1"/>
        <v/>
      </c>
      <c r="O11" s="1">
        <f t="shared" si="2"/>
        <v>820</v>
      </c>
      <c r="P11" s="1">
        <f t="shared" si="3"/>
        <v>1640000</v>
      </c>
      <c r="S11" s="1" t="s">
        <v>86</v>
      </c>
      <c r="T11" s="3">
        <f t="shared" si="4"/>
        <v>0</v>
      </c>
      <c r="U11" s="1">
        <f t="shared" si="5"/>
        <v>0</v>
      </c>
    </row>
    <row r="12" spans="2:21" x14ac:dyDescent="0.3">
      <c r="J12" s="16">
        <v>37660</v>
      </c>
      <c r="K12" s="1" t="s">
        <v>88</v>
      </c>
      <c r="L12" s="1" t="str">
        <f t="shared" si="0"/>
        <v>Chanh</v>
      </c>
      <c r="M12" s="17">
        <v>3000</v>
      </c>
      <c r="N12" s="1">
        <f t="shared" si="1"/>
        <v>760</v>
      </c>
      <c r="O12" s="1" t="str">
        <f t="shared" si="2"/>
        <v/>
      </c>
      <c r="P12" s="1">
        <f t="shared" si="3"/>
        <v>2280000</v>
      </c>
    </row>
    <row r="13" spans="2:21" x14ac:dyDescent="0.3">
      <c r="J13" s="16">
        <v>37661</v>
      </c>
      <c r="K13" s="1" t="s">
        <v>89</v>
      </c>
      <c r="L13" s="1" t="str">
        <f t="shared" si="0"/>
        <v>Đào</v>
      </c>
      <c r="M13" s="17">
        <v>1500</v>
      </c>
      <c r="N13" s="1" t="str">
        <f t="shared" si="1"/>
        <v/>
      </c>
      <c r="O13" s="1">
        <f t="shared" si="2"/>
        <v>800</v>
      </c>
      <c r="P13" s="1">
        <f t="shared" si="3"/>
        <v>1200000</v>
      </c>
      <c r="S13" t="s">
        <v>90</v>
      </c>
    </row>
    <row r="14" spans="2:21" x14ac:dyDescent="0.3">
      <c r="J14" s="16">
        <v>37662</v>
      </c>
      <c r="K14" s="1" t="s">
        <v>91</v>
      </c>
      <c r="L14" s="1" t="str">
        <f t="shared" si="0"/>
        <v>Bưởi</v>
      </c>
      <c r="M14" s="17">
        <v>2000</v>
      </c>
      <c r="N14" s="1" t="str">
        <f t="shared" si="1"/>
        <v/>
      </c>
      <c r="O14" s="1">
        <f t="shared" si="2"/>
        <v>820</v>
      </c>
      <c r="P14" s="1">
        <f t="shared" si="3"/>
        <v>1640000</v>
      </c>
    </row>
    <row r="15" spans="2:21" x14ac:dyDescent="0.3">
      <c r="J15" s="16">
        <v>37663</v>
      </c>
      <c r="K15" s="1" t="s">
        <v>92</v>
      </c>
      <c r="L15" s="1" t="str">
        <f t="shared" si="0"/>
        <v>Cam</v>
      </c>
      <c r="M15" s="17">
        <v>1800</v>
      </c>
      <c r="N15" s="1">
        <f t="shared" si="1"/>
        <v>750</v>
      </c>
      <c r="O15" s="1" t="str">
        <f t="shared" si="2"/>
        <v/>
      </c>
      <c r="P15" s="1">
        <f t="shared" si="3"/>
        <v>1350000</v>
      </c>
      <c r="S15" s="1" t="s">
        <v>7</v>
      </c>
      <c r="T15" s="3" t="s">
        <v>68</v>
      </c>
      <c r="U15" s="1" t="s">
        <v>69</v>
      </c>
    </row>
    <row r="16" spans="2:21" x14ac:dyDescent="0.3">
      <c r="J16" s="16">
        <v>37664</v>
      </c>
      <c r="K16" s="1" t="s">
        <v>93</v>
      </c>
      <c r="L16" s="1" t="str">
        <f t="shared" si="0"/>
        <v>Chanh</v>
      </c>
      <c r="M16" s="17">
        <v>2100</v>
      </c>
      <c r="N16" s="1">
        <f t="shared" si="1"/>
        <v>760</v>
      </c>
      <c r="O16" s="1" t="str">
        <f t="shared" si="2"/>
        <v/>
      </c>
      <c r="P16" s="1">
        <f t="shared" si="3"/>
        <v>1596000</v>
      </c>
      <c r="S16" s="1" t="s">
        <v>71</v>
      </c>
      <c r="T16" s="3">
        <f>SUMIFS($M$6:$M$18, $L$6:$L$18,S16,$K$6:$K$18,"X*")</f>
        <v>0</v>
      </c>
      <c r="U16" s="1">
        <f>SUMIFS($P$6:$P$18,$L$6:$L$18,S16,$K$6:$K$18, "X*")</f>
        <v>0</v>
      </c>
    </row>
    <row r="17" spans="7:21" x14ac:dyDescent="0.3">
      <c r="J17" s="16">
        <v>37665</v>
      </c>
      <c r="K17" s="1" t="s">
        <v>94</v>
      </c>
      <c r="L17" s="1" t="str">
        <f t="shared" si="0"/>
        <v>Hồng</v>
      </c>
      <c r="M17" s="17">
        <v>1500</v>
      </c>
      <c r="N17" s="1" t="str">
        <f t="shared" si="1"/>
        <v/>
      </c>
      <c r="O17" s="1">
        <f t="shared" si="2"/>
        <v>880</v>
      </c>
      <c r="P17" s="1">
        <f t="shared" si="3"/>
        <v>1320000</v>
      </c>
      <c r="S17" s="1" t="s">
        <v>74</v>
      </c>
      <c r="T17" s="3">
        <f t="shared" ref="T17:T21" si="6">SUMIFS($M$6:$M$18, $L$6:$L$18,S17,$K$6:$K$18,"X*")</f>
        <v>2500</v>
      </c>
      <c r="U17" s="1">
        <f t="shared" ref="U17:U21" si="7">SUMIFS($P$6:$P$18,$L$6:$L$18,S17,$K$6:$K$18, "X*")</f>
        <v>2125000</v>
      </c>
    </row>
    <row r="18" spans="7:21" x14ac:dyDescent="0.3">
      <c r="J18" s="16">
        <v>37666</v>
      </c>
      <c r="K18" s="1" t="s">
        <v>95</v>
      </c>
      <c r="L18" s="1" t="str">
        <f t="shared" si="0"/>
        <v>Đào</v>
      </c>
      <c r="M18" s="17">
        <v>1800</v>
      </c>
      <c r="N18" s="1">
        <f t="shared" si="1"/>
        <v>750</v>
      </c>
      <c r="O18" s="1" t="str">
        <f t="shared" si="2"/>
        <v/>
      </c>
      <c r="P18" s="1">
        <f t="shared" si="3"/>
        <v>1350000</v>
      </c>
      <c r="S18" s="1" t="s">
        <v>77</v>
      </c>
      <c r="T18" s="3">
        <f t="shared" si="6"/>
        <v>2000</v>
      </c>
      <c r="U18" s="1">
        <f>SUMIFS($P$6:$P$18,$L$6:$L$18,S18,$K$6:$K$18, "X*")</f>
        <v>1640000</v>
      </c>
    </row>
    <row r="19" spans="7:21" x14ac:dyDescent="0.3">
      <c r="S19" s="1" t="s">
        <v>80</v>
      </c>
      <c r="T19" s="3">
        <f t="shared" si="6"/>
        <v>1500</v>
      </c>
      <c r="U19" s="1">
        <f t="shared" si="7"/>
        <v>1320000</v>
      </c>
    </row>
    <row r="20" spans="7:21" x14ac:dyDescent="0.3">
      <c r="S20" s="1" t="s">
        <v>83</v>
      </c>
      <c r="T20" s="3">
        <f t="shared" si="6"/>
        <v>1500</v>
      </c>
      <c r="U20" s="1">
        <f t="shared" si="7"/>
        <v>1200000</v>
      </c>
    </row>
    <row r="21" spans="7:21" x14ac:dyDescent="0.3">
      <c r="G21" t="s">
        <v>96</v>
      </c>
      <c r="S21" s="1" t="s">
        <v>86</v>
      </c>
      <c r="T21" s="3">
        <f t="shared" si="6"/>
        <v>4200</v>
      </c>
      <c r="U21" s="1">
        <f t="shared" si="7"/>
        <v>3444000</v>
      </c>
    </row>
    <row r="23" spans="7:21" x14ac:dyDescent="0.3">
      <c r="S23" t="s">
        <v>97</v>
      </c>
    </row>
    <row r="25" spans="7:21" x14ac:dyDescent="0.3">
      <c r="S25" s="1" t="s">
        <v>7</v>
      </c>
      <c r="T25" s="3" t="s">
        <v>68</v>
      </c>
      <c r="U25" s="1" t="s">
        <v>69</v>
      </c>
    </row>
    <row r="26" spans="7:21" x14ac:dyDescent="0.3">
      <c r="S26" s="1" t="s">
        <v>71</v>
      </c>
      <c r="T26" s="3">
        <f>D6+T6-T16</f>
        <v>5600</v>
      </c>
      <c r="U26" s="3">
        <f>E6+U6-U16</f>
        <v>4313000</v>
      </c>
    </row>
    <row r="27" spans="7:21" x14ac:dyDescent="0.3">
      <c r="S27" s="1" t="s">
        <v>74</v>
      </c>
      <c r="T27" s="3">
        <f t="shared" ref="T27:U31" si="8">D7+T7-T17</f>
        <v>1700</v>
      </c>
      <c r="U27" s="3">
        <f t="shared" si="8"/>
        <v>1035000</v>
      </c>
    </row>
    <row r="28" spans="7:21" x14ac:dyDescent="0.3">
      <c r="S28" s="1" t="s">
        <v>77</v>
      </c>
      <c r="T28" s="3">
        <f t="shared" si="8"/>
        <v>4900</v>
      </c>
      <c r="U28" s="3">
        <f t="shared" si="8"/>
        <v>3638000</v>
      </c>
    </row>
    <row r="29" spans="7:21" x14ac:dyDescent="0.3">
      <c r="S29" s="1" t="s">
        <v>80</v>
      </c>
      <c r="T29" s="3">
        <f t="shared" si="8"/>
        <v>2700</v>
      </c>
      <c r="U29" s="3">
        <f t="shared" si="8"/>
        <v>1932000</v>
      </c>
    </row>
    <row r="30" spans="7:21" x14ac:dyDescent="0.3">
      <c r="S30" s="1" t="s">
        <v>83</v>
      </c>
      <c r="T30" s="3">
        <f t="shared" si="8"/>
        <v>3500</v>
      </c>
      <c r="U30" s="3">
        <f t="shared" si="8"/>
        <v>2684000</v>
      </c>
    </row>
    <row r="31" spans="7:21" x14ac:dyDescent="0.3">
      <c r="S31" s="1" t="s">
        <v>86</v>
      </c>
      <c r="T31" s="3">
        <f t="shared" si="8"/>
        <v>1000</v>
      </c>
      <c r="U31" s="3">
        <f t="shared" si="8"/>
        <v>658000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chart</vt:lpstr>
      <vt:lpstr>sumif, 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Tô Lê Quỳnh Trang</dc:creator>
  <cp:lastModifiedBy>Tô Lê Quỳnh Trang</cp:lastModifiedBy>
  <dcterms:created xsi:type="dcterms:W3CDTF">2025-03-05T06:26:00Z</dcterms:created>
  <dcterms:modified xsi:type="dcterms:W3CDTF">2026-03-24T10:02:10Z</dcterms:modified>
</cp:coreProperties>
</file>